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D:\Ankit\"/>
    </mc:Choice>
  </mc:AlternateContent>
  <xr:revisionPtr revIDLastSave="0" documentId="13_ncr:1_{07D72602-517C-46F3-97BC-0712B8BBA743}" xr6:coauthVersionLast="36" xr6:coauthVersionMax="36" xr10:uidLastSave="{00000000-0000-0000-0000-000000000000}"/>
  <bookViews>
    <workbookView xWindow="0" yWindow="0" windowWidth="23040" windowHeight="9804" activeTab="3" xr2:uid="{84A4C28E-F62A-45B2-ADE3-A132B94E04BA}"/>
  </bookViews>
  <sheets>
    <sheet name="Sheet5" sheetId="10" r:id="rId1"/>
    <sheet name="Sale_data" sheetId="1" r:id="rId2"/>
    <sheet name="Returns-v-Sales" sheetId="3" r:id="rId3"/>
    <sheet name="Top_Sold_SKUs" sheetId="5" r:id="rId4"/>
    <sheet name="States" sheetId="7" r:id="rId5"/>
  </sheets>
  <definedNames>
    <definedName name="Slicer_City">#N/A</definedName>
    <definedName name="Slicer_Customer_s_Delivery_State">#N/A</definedName>
    <definedName name="Slicer_MONTH">#N/A</definedName>
  </definedNames>
  <calcPr calcId="191029"/>
  <pivotCaches>
    <pivotCache cacheId="1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B3" i="1" l="1"/>
  <c r="BB4" i="1"/>
  <c r="BB5" i="1"/>
  <c r="BB6" i="1"/>
  <c r="BB7" i="1"/>
  <c r="BB8" i="1"/>
  <c r="BB9" i="1"/>
  <c r="BB10" i="1"/>
  <c r="BB11" i="1"/>
  <c r="BB12" i="1"/>
  <c r="BB13" i="1"/>
  <c r="BB14" i="1"/>
  <c r="BB15" i="1"/>
  <c r="BB16" i="1"/>
  <c r="BB17" i="1"/>
  <c r="BB18" i="1"/>
  <c r="BB19" i="1"/>
  <c r="BB20" i="1"/>
  <c r="BB21" i="1"/>
  <c r="BB22" i="1"/>
  <c r="BB23" i="1"/>
  <c r="BB24" i="1"/>
  <c r="BB25" i="1"/>
  <c r="BB26" i="1"/>
  <c r="BB27" i="1"/>
  <c r="BB28" i="1"/>
  <c r="BB29" i="1"/>
  <c r="BB30" i="1"/>
  <c r="BB31" i="1"/>
  <c r="BB32" i="1"/>
  <c r="BB33" i="1"/>
  <c r="BB34" i="1"/>
  <c r="BB35" i="1"/>
  <c r="BB36" i="1"/>
  <c r="BB37" i="1"/>
  <c r="BB38" i="1"/>
  <c r="BB39" i="1"/>
  <c r="BB40" i="1"/>
  <c r="BB41" i="1"/>
  <c r="BB42" i="1"/>
  <c r="BB43" i="1"/>
  <c r="BB44" i="1"/>
  <c r="BB45" i="1"/>
  <c r="BB46" i="1"/>
  <c r="BB47" i="1"/>
  <c r="BB48" i="1"/>
  <c r="BB49" i="1"/>
  <c r="BB50" i="1"/>
  <c r="BB51" i="1"/>
  <c r="BB52" i="1"/>
  <c r="BB53" i="1"/>
  <c r="BB54" i="1"/>
  <c r="BB55" i="1"/>
  <c r="BB56" i="1"/>
  <c r="BB57" i="1"/>
  <c r="BB58" i="1"/>
  <c r="BB59" i="1"/>
  <c r="BB60" i="1"/>
  <c r="BB61" i="1"/>
  <c r="BB62" i="1"/>
  <c r="BB63" i="1"/>
  <c r="BB64" i="1"/>
  <c r="BB65" i="1"/>
  <c r="BB66" i="1"/>
  <c r="BB67" i="1"/>
  <c r="BB68" i="1"/>
  <c r="BB69" i="1"/>
  <c r="BB70" i="1"/>
  <c r="BB71" i="1"/>
  <c r="BB72" i="1"/>
  <c r="BB73" i="1"/>
  <c r="BB74" i="1"/>
  <c r="BB75" i="1"/>
  <c r="BB76" i="1"/>
  <c r="BB77" i="1"/>
  <c r="BB78" i="1"/>
  <c r="BB79" i="1"/>
  <c r="BB80" i="1"/>
  <c r="BB81" i="1"/>
  <c r="BB82" i="1"/>
  <c r="BB83" i="1"/>
  <c r="BB84" i="1"/>
  <c r="BB85" i="1"/>
  <c r="BB86" i="1"/>
  <c r="BB87" i="1"/>
  <c r="BB88" i="1"/>
  <c r="BB89" i="1"/>
  <c r="BB90" i="1"/>
  <c r="BB91" i="1"/>
  <c r="BB92" i="1"/>
  <c r="BB93" i="1"/>
  <c r="BB94" i="1"/>
  <c r="BB95" i="1"/>
  <c r="BB96" i="1"/>
  <c r="BB97" i="1"/>
  <c r="BB98" i="1"/>
  <c r="BB99" i="1"/>
  <c r="BB100" i="1"/>
  <c r="BB101" i="1"/>
  <c r="BB102" i="1"/>
  <c r="BB103" i="1"/>
  <c r="BB104" i="1"/>
  <c r="BB105" i="1"/>
  <c r="BB106" i="1"/>
  <c r="BB107" i="1"/>
  <c r="BB108" i="1"/>
  <c r="BB109" i="1"/>
  <c r="BB110" i="1"/>
  <c r="BB111" i="1"/>
  <c r="BB112" i="1"/>
  <c r="BB113" i="1"/>
  <c r="BB114" i="1"/>
  <c r="BB115" i="1"/>
  <c r="BB116" i="1"/>
  <c r="BB117" i="1"/>
  <c r="BB118" i="1"/>
  <c r="BB119" i="1"/>
  <c r="BB120" i="1"/>
  <c r="BB121" i="1"/>
  <c r="BB122" i="1"/>
  <c r="BB123" i="1"/>
  <c r="BB124" i="1"/>
  <c r="BB125" i="1"/>
  <c r="BB126" i="1"/>
  <c r="BB127" i="1"/>
  <c r="BB128" i="1"/>
  <c r="BB129" i="1"/>
  <c r="BB130" i="1"/>
  <c r="BB131" i="1"/>
  <c r="BB132" i="1"/>
  <c r="BB133" i="1"/>
  <c r="BB134" i="1"/>
  <c r="BB135" i="1"/>
  <c r="BB136" i="1"/>
  <c r="BB137" i="1"/>
  <c r="BB138" i="1"/>
  <c r="BB139" i="1"/>
  <c r="BB140" i="1"/>
  <c r="BB141" i="1"/>
  <c r="BB142" i="1"/>
  <c r="BB143" i="1"/>
  <c r="BB144" i="1"/>
  <c r="BB145" i="1"/>
  <c r="BB146" i="1"/>
  <c r="BB147" i="1"/>
  <c r="BB148" i="1"/>
  <c r="BB149" i="1"/>
  <c r="BB150" i="1"/>
  <c r="BB151" i="1"/>
  <c r="BB152" i="1"/>
  <c r="BB153" i="1"/>
  <c r="BB154" i="1"/>
  <c r="BB155" i="1"/>
  <c r="BB156" i="1"/>
  <c r="BB157" i="1"/>
  <c r="BB158" i="1"/>
  <c r="BB159" i="1"/>
  <c r="BB160" i="1"/>
  <c r="BB161" i="1"/>
  <c r="BB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2"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3" i="1"/>
  <c r="G4" i="1"/>
  <c r="G5" i="1"/>
  <c r="G6" i="1"/>
  <c r="G7" i="1"/>
  <c r="G2" i="1"/>
</calcChain>
</file>

<file path=xl/sharedStrings.xml><?xml version="1.0" encoding="utf-8"?>
<sst xmlns="http://schemas.openxmlformats.org/spreadsheetml/2006/main" count="10024" uniqueCount="1511">
  <si>
    <t>Seller GSTIN</t>
  </si>
  <si>
    <t>Order ID</t>
  </si>
  <si>
    <t>Order Item ID</t>
  </si>
  <si>
    <t>Product Title/Description</t>
  </si>
  <si>
    <t>FSN</t>
  </si>
  <si>
    <t>SKU</t>
  </si>
  <si>
    <t>HSN Code</t>
  </si>
  <si>
    <t>Event Type</t>
  </si>
  <si>
    <t>Event Sub Type</t>
  </si>
  <si>
    <t>Order Type</t>
  </si>
  <si>
    <t>Fulfilment Type</t>
  </si>
  <si>
    <t>Order Date</t>
  </si>
  <si>
    <t>Order Approval Date</t>
  </si>
  <si>
    <t>Item Quantity</t>
  </si>
  <si>
    <t>Order Shipped From (State)</t>
  </si>
  <si>
    <t>Warehouse ID</t>
  </si>
  <si>
    <t>Price before discount</t>
  </si>
  <si>
    <t>Total Discount</t>
  </si>
  <si>
    <t>Seller Share</t>
  </si>
  <si>
    <t>Bank Offer Share</t>
  </si>
  <si>
    <t>Price after discount (Price before discount-Total discount)</t>
  </si>
  <si>
    <t>Shipping Charges</t>
  </si>
  <si>
    <t>Final Invoice Amount (Price after discount+Shipping Charges)</t>
  </si>
  <si>
    <t>Type of tax</t>
  </si>
  <si>
    <t>Taxable Value (Final Invoice Amount -Taxes)</t>
  </si>
  <si>
    <t>CST Rate</t>
  </si>
  <si>
    <t>CST Amount</t>
  </si>
  <si>
    <t>VAT Rate</t>
  </si>
  <si>
    <t>VAT Amount</t>
  </si>
  <si>
    <t>Luxury Cess Rate</t>
  </si>
  <si>
    <t>Luxury Cess Amount</t>
  </si>
  <si>
    <t>IGST Rate</t>
  </si>
  <si>
    <t>IGST Amount</t>
  </si>
  <si>
    <t>CGST Rate</t>
  </si>
  <si>
    <t>CGST Amount</t>
  </si>
  <si>
    <t>SGST Rate (or UTGST as applicable)</t>
  </si>
  <si>
    <t>SGST Amount (Or UTGST as applicable)</t>
  </si>
  <si>
    <t>TCS IGST Rate</t>
  </si>
  <si>
    <t>TCS IGST Amount</t>
  </si>
  <si>
    <t>TCS CGST Rate</t>
  </si>
  <si>
    <t>TCS CGST Amount</t>
  </si>
  <si>
    <t>TCS SGST Rate</t>
  </si>
  <si>
    <t>TCS SGST Amount</t>
  </si>
  <si>
    <t>Total TCS Deducted</t>
  </si>
  <si>
    <t>Buyer Invoice ID</t>
  </si>
  <si>
    <t>Buyer Invoice Date</t>
  </si>
  <si>
    <t>Buyer Invoice Amount</t>
  </si>
  <si>
    <t>Customer's Billing Pincode</t>
  </si>
  <si>
    <t>Customer's Billing State</t>
  </si>
  <si>
    <t>Customer's Delivery Pincode</t>
  </si>
  <si>
    <t>Customer's Delivery State</t>
  </si>
  <si>
    <t>Usual Price</t>
  </si>
  <si>
    <t>Is Shopsy Order?</t>
  </si>
  <si>
    <t>TDS Rate</t>
  </si>
  <si>
    <t>TDS Amount</t>
  </si>
  <si>
    <t>IRN</t>
  </si>
  <si>
    <t>Business Name</t>
  </si>
  <si>
    <t>Business GST Number</t>
  </si>
  <si>
    <t>Beneficiary Name</t>
  </si>
  <si>
    <t>IMEI</t>
  </si>
  <si>
    <t>08FHGPP4088D1Z1</t>
  </si>
  <si>
    <t>OD434807368241586100</t>
  </si>
  <si>
    <t>434807368241586100</t>
  </si>
  <si>
    <t>"""Can't Hurt Me: Master Your Mind And Defy The Odds Paperback, David Goggins"""</t>
  </si>
  <si>
    <t>"""RBKHC37VJ2Q658FH"""</t>
  </si>
  <si>
    <t>"""SKU:CANT-ME"""</t>
  </si>
  <si>
    <t>49011010</t>
  </si>
  <si>
    <t>Sale</t>
  </si>
  <si>
    <t>Prepaid</t>
  </si>
  <si>
    <t>NON_FBF</t>
  </si>
  <si>
    <t>2025-06-29 00:00:00</t>
  </si>
  <si>
    <t>1.0</t>
  </si>
  <si>
    <t>IN-RJ</t>
  </si>
  <si>
    <t>NA</t>
  </si>
  <si>
    <t>128.0</t>
  </si>
  <si>
    <t>0.0</t>
  </si>
  <si>
    <t>0</t>
  </si>
  <si>
    <t>FAMNXL2600000005</t>
  </si>
  <si>
    <t>2025-06-30 00:00:00.0</t>
  </si>
  <si>
    <t>570009</t>
  </si>
  <si>
    <t>Karnataka</t>
  </si>
  <si>
    <t>false</t>
  </si>
  <si>
    <t>0.1</t>
  </si>
  <si>
    <t>0.128</t>
  </si>
  <si>
    <t>Sridhar P</t>
  </si>
  <si>
    <t>OD334811722886910100</t>
  </si>
  <si>
    <t>334811722886910100</t>
  </si>
  <si>
    <t>"""The Alchemist English, Paperback, Paulo Coelho"""</t>
  </si>
  <si>
    <t>"""9781512761689"""</t>
  </si>
  <si>
    <t>"""SKU:ALCHEMIST01"""</t>
  </si>
  <si>
    <t>2025-06-30 00:00:00</t>
  </si>
  <si>
    <t>94.0</t>
  </si>
  <si>
    <t>FAMNXL2600000006</t>
  </si>
  <si>
    <t>770032</t>
  </si>
  <si>
    <t>Odisha</t>
  </si>
  <si>
    <t>0.094</t>
  </si>
  <si>
    <t>Madhusudhan Bansingh</t>
  </si>
  <si>
    <t>OD334787125181557100</t>
  </si>
  <si>
    <t>334787125181557101</t>
  </si>
  <si>
    <t>"""The Psychology of Money Paperback, Morgan Housel"""</t>
  </si>
  <si>
    <t>"""9781804091043"""</t>
  </si>
  <si>
    <t>"""SKU:PSYCH01"""</t>
  </si>
  <si>
    <t>2025-06-27 00:00:00</t>
  </si>
  <si>
    <t>88.0</t>
  </si>
  <si>
    <t>FAMNXL2600000001</t>
  </si>
  <si>
    <t>2025-06-27 00:00:00.0</t>
  </si>
  <si>
    <t>263645</t>
  </si>
  <si>
    <t>Uttarakhand</t>
  </si>
  <si>
    <t>0.088</t>
  </si>
  <si>
    <t>Sanjay Rautela</t>
  </si>
  <si>
    <t>OD334806769643017100</t>
  </si>
  <si>
    <t>334806769643017100</t>
  </si>
  <si>
    <t>"""THE Can't Hurt Me : Master Your Mind And Defy The Odds - Clean Edition Paperback, David Goggins"""</t>
  </si>
  <si>
    <t>"""RBKHCZS2BY2JKZWG"""</t>
  </si>
  <si>
    <t>"""SKU:CANT02"""</t>
  </si>
  <si>
    <t>FAMNXL2600000004</t>
  </si>
  <si>
    <t>410210</t>
  </si>
  <si>
    <t>Maharashtra</t>
  </si>
  <si>
    <t>Puvi Praveen</t>
  </si>
  <si>
    <t>OD434799158194938100</t>
  </si>
  <si>
    <t>434799158194938100</t>
  </si>
  <si>
    <t>FAMNXL2600000002</t>
  </si>
  <si>
    <t>2025-06-29 00:00:00.0</t>
  </si>
  <si>
    <t>361150</t>
  </si>
  <si>
    <t>Gujarat</t>
  </si>
  <si>
    <t>600016</t>
  </si>
  <si>
    <t>Tamil Nadu</t>
  </si>
  <si>
    <t>DEEPAK BHIMAPPA POTADAR</t>
  </si>
  <si>
    <t>OD434803011784537100</t>
  </si>
  <si>
    <t>434803011784537100</t>
  </si>
  <si>
    <t>FAMNXL2600000003</t>
  </si>
  <si>
    <t>413705</t>
  </si>
  <si>
    <t>Rohit Kedar</t>
  </si>
  <si>
    <t>OD334906756869876100</t>
  </si>
  <si>
    <t>334906756869876100</t>
  </si>
  <si>
    <t>"""Thinking, Fast And Slow Paperback, INNOX"""</t>
  </si>
  <si>
    <t>"""RBKHDH8FTXMAAGFG"""</t>
  </si>
  <si>
    <t>"""SKU:T-F-A-S01"""</t>
  </si>
  <si>
    <t>Return</t>
  </si>
  <si>
    <t>Cancellation</t>
  </si>
  <si>
    <t>Postpaid</t>
  </si>
  <si>
    <t>2025-07-11 00:00:00</t>
  </si>
  <si>
    <t>137.0</t>
  </si>
  <si>
    <t>-137.0</t>
  </si>
  <si>
    <t>RAKC4V2600000003</t>
  </si>
  <si>
    <t>2025-07-12 00:00:00.0</t>
  </si>
  <si>
    <t>783384</t>
  </si>
  <si>
    <t>Assam</t>
  </si>
  <si>
    <t>0.137</t>
  </si>
  <si>
    <t>Himujit Barkakati</t>
  </si>
  <si>
    <t>OD334962126851823100</t>
  </si>
  <si>
    <t>334962126851823100</t>
  </si>
  <si>
    <t>"""Miracle Morning Paperback, Hal Elrod"""</t>
  </si>
  <si>
    <t>"""9789832326960"""</t>
  </si>
  <si>
    <t>"""SKU:MIRACLE-MORNING01"""</t>
  </si>
  <si>
    <t>2025-07-17 00:00:00</t>
  </si>
  <si>
    <t>112.0</t>
  </si>
  <si>
    <t>FAMNXL2600000050</t>
  </si>
  <si>
    <t>2025-07-19 00:00:00.0</t>
  </si>
  <si>
    <t>160017</t>
  </si>
  <si>
    <t>Chandigarh</t>
  </si>
  <si>
    <t>187.0</t>
  </si>
  <si>
    <t>0.112</t>
  </si>
  <si>
    <t>Harsimran Kaur</t>
  </si>
  <si>
    <t>OD434909995125913100</t>
  </si>
  <si>
    <t>434909995125913100</t>
  </si>
  <si>
    <t>"""Atomic Habit And Ikigai And Thinking Fast And Slow Paperback, james clear, daniel kahneman, hector gracia and francesc miralles"""</t>
  </si>
  <si>
    <t>"""RBKHD5QMCWJ679DH"""</t>
  </si>
  <si>
    <t>"""SKU:A-T-I"""</t>
  </si>
  <si>
    <t>259.0</t>
  </si>
  <si>
    <t>-32.0</t>
  </si>
  <si>
    <t>227.0</t>
  </si>
  <si>
    <t>FAMNXL2600000041</t>
  </si>
  <si>
    <t>831005</t>
  </si>
  <si>
    <t>Jharkhand</t>
  </si>
  <si>
    <t>0.227</t>
  </si>
  <si>
    <t>Swati Lal Prasad</t>
  </si>
  <si>
    <t>OD334950317413598100</t>
  </si>
  <si>
    <t>334950317413598100</t>
  </si>
  <si>
    <t>2025-07-16 00:00:00</t>
  </si>
  <si>
    <t>83.0</t>
  </si>
  <si>
    <t>-14.0</t>
  </si>
  <si>
    <t>69.0</t>
  </si>
  <si>
    <t>FAMNXL2600000047</t>
  </si>
  <si>
    <t>2025-07-16 00:00:00.0</t>
  </si>
  <si>
    <t>788831</t>
  </si>
  <si>
    <t>205.0</t>
  </si>
  <si>
    <t>0.069</t>
  </si>
  <si>
    <t>Soniya</t>
  </si>
  <si>
    <t>OD334915075155845100</t>
  </si>
  <si>
    <t>334915075155845100</t>
  </si>
  <si>
    <t>"""The Magic Of Thinking Big Paperback, THEMAGICTHINKBIG-1"""</t>
  </si>
  <si>
    <t>"""RBKGTKP5QTSGHKWC"""</t>
  </si>
  <si>
    <t>"""SKU:THEMAGICTHINKBIG-1"""</t>
  </si>
  <si>
    <t>2025-07-12 00:00:00</t>
  </si>
  <si>
    <t>158.0</t>
  </si>
  <si>
    <t>FAMNXL2600000043</t>
  </si>
  <si>
    <t>441601</t>
  </si>
  <si>
    <t>299.0</t>
  </si>
  <si>
    <t>0.158</t>
  </si>
  <si>
    <t>Vansh Dhurve</t>
  </si>
  <si>
    <t>OD434940335961563100</t>
  </si>
  <si>
    <t>434940335961563100</t>
  </si>
  <si>
    <t>"""The Intelligent Investor - Hindi Paperback, Hindi, Graham Benjamin"""</t>
  </si>
  <si>
    <t>"""RBKHDYEYJDFHEWHJ"""</t>
  </si>
  <si>
    <t>"""SKU:The-Intelligent-Investor"""</t>
  </si>
  <si>
    <t>2025-07-15 00:00:00</t>
  </si>
  <si>
    <t>127.0</t>
  </si>
  <si>
    <t>10.0</t>
  </si>
  <si>
    <t>FAMNXL2600000045</t>
  </si>
  <si>
    <t>2025-07-15 00:00:00.0</t>
  </si>
  <si>
    <t>190012</t>
  </si>
  <si>
    <t>Jammu &amp; Kashmir</t>
  </si>
  <si>
    <t>BIKASH</t>
  </si>
  <si>
    <t>OD334950373047905100</t>
  </si>
  <si>
    <t>334950373047905100</t>
  </si>
  <si>
    <t>"""Courage To Be Disliked | The Miracle Morning | Atomic Habits | Deep Work 2 Book Combo Paperback, JMD BOOKS"""</t>
  </si>
  <si>
    <t>"""9787519296889"""</t>
  </si>
  <si>
    <t>"""SKU:MIRACLE-COURAGE-ATOMIC-DEEP"""</t>
  </si>
  <si>
    <t>358.0</t>
  </si>
  <si>
    <t>-40.0</t>
  </si>
  <si>
    <t>318.0</t>
  </si>
  <si>
    <t>FAMNXL2600000046</t>
  </si>
  <si>
    <t>700038</t>
  </si>
  <si>
    <t>West Bengal</t>
  </si>
  <si>
    <t>499.0</t>
  </si>
  <si>
    <t>0.318</t>
  </si>
  <si>
    <t>UTSAV GHOSH</t>
  </si>
  <si>
    <t>OD434984856134862100</t>
  </si>
  <si>
    <t>434984856134862100</t>
  </si>
  <si>
    <t>2025-07-20 00:00:00</t>
  </si>
  <si>
    <t>-10.0</t>
  </si>
  <si>
    <t>73.0</t>
  </si>
  <si>
    <t>-73.0</t>
  </si>
  <si>
    <t>RAKC4V2600000007</t>
  </si>
  <si>
    <t>2025-07-25 00:00:00.0</t>
  </si>
  <si>
    <t>581421</t>
  </si>
  <si>
    <t>0.073</t>
  </si>
  <si>
    <t>Adarsh</t>
  </si>
  <si>
    <t>FAMNXL2600000039</t>
  </si>
  <si>
    <t>2025-07-11 00:00:00.0</t>
  </si>
  <si>
    <t>OD334909261528818100</t>
  </si>
  <si>
    <t>334909261528818100</t>
  </si>
  <si>
    <t>"""Man's Search for Meaning + Thinking, Fast and Slow 2 Book Combo Paperback, JMD BOOKS"""</t>
  </si>
  <si>
    <t>"""9780500472101"""</t>
  </si>
  <si>
    <t>"""SKU:T-M"""</t>
  </si>
  <si>
    <t>233.0</t>
  </si>
  <si>
    <t>-28.0</t>
  </si>
  <si>
    <t>FAMNXL2600000042</t>
  </si>
  <si>
    <t>413104</t>
  </si>
  <si>
    <t>0.205</t>
  </si>
  <si>
    <t>Yash Namdev Kamble</t>
  </si>
  <si>
    <t>OD334906990067428100</t>
  </si>
  <si>
    <t>334906990067428101</t>
  </si>
  <si>
    <t>"""Eat that Frog! + Do epic Shit 2 Book Combo Paperback, JMD BOOKS"""</t>
  </si>
  <si>
    <t>"""9782008104768"""</t>
  </si>
  <si>
    <t>"""SKU:DO-EPIC-FROG"""</t>
  </si>
  <si>
    <t>234.0</t>
  </si>
  <si>
    <t>206.0</t>
  </si>
  <si>
    <t>FAMNXL2600000038</t>
  </si>
  <si>
    <t>275301</t>
  </si>
  <si>
    <t>Uttar Pradesh</t>
  </si>
  <si>
    <t>0.206</t>
  </si>
  <si>
    <t>Manohar Chauhan</t>
  </si>
  <si>
    <t>OD434834156869603100</t>
  </si>
  <si>
    <t>434834156869603100</t>
  </si>
  <si>
    <t>2025-07-03 00:00:00</t>
  </si>
  <si>
    <t>-128.0</t>
  </si>
  <si>
    <t>RAKC4V2600000004</t>
  </si>
  <si>
    <t>2025-07-14 00:00:00.0</t>
  </si>
  <si>
    <t>416001</t>
  </si>
  <si>
    <t>Devraj Bamnekar</t>
  </si>
  <si>
    <t>OD334907057242768100</t>
  </si>
  <si>
    <t>334907057242768100</t>
  </si>
  <si>
    <t>FAMNXL2600000040</t>
  </si>
  <si>
    <t>360006</t>
  </si>
  <si>
    <t>Jignesh Vaghela</t>
  </si>
  <si>
    <t>FAMNXL2600000052</t>
  </si>
  <si>
    <t>2025-07-20 00:00:00.0</t>
  </si>
  <si>
    <t>OD434959563209492100</t>
  </si>
  <si>
    <t>434959563209492100</t>
  </si>
  <si>
    <t>87.0</t>
  </si>
  <si>
    <t>77.0</t>
  </si>
  <si>
    <t>FAMNXL2600000048</t>
  </si>
  <si>
    <t>2025-07-17 00:00:00.0</t>
  </si>
  <si>
    <t>781006</t>
  </si>
  <si>
    <t>0.077</t>
  </si>
  <si>
    <t>Namrata Sharma</t>
  </si>
  <si>
    <t>OD434833245246944100</t>
  </si>
  <si>
    <t>434833245246944102</t>
  </si>
  <si>
    <t>"""The 7 Habits Of Highly Effective People Paperback, stephen r. convey"""</t>
  </si>
  <si>
    <t>"""RBKGQP4FVXUN4VHY"""</t>
  </si>
  <si>
    <t>"""SKU:THE7HABITS12"""</t>
  </si>
  <si>
    <t>2025-07-02 00:00:00</t>
  </si>
  <si>
    <t>138.0</t>
  </si>
  <si>
    <t>FAMNXL2600000011</t>
  </si>
  <si>
    <t>2025-07-03 00:00:00.0</t>
  </si>
  <si>
    <t>282007</t>
  </si>
  <si>
    <t>289.0</t>
  </si>
  <si>
    <t>0.138</t>
  </si>
  <si>
    <t>Shobha</t>
  </si>
  <si>
    <t>-138.0</t>
  </si>
  <si>
    <t>RAKC4V2600000001</t>
  </si>
  <si>
    <t>OD435014427668818100</t>
  </si>
  <si>
    <t>435014427668818100</t>
  </si>
  <si>
    <t>"""Think And Grow Rich By Napoleon Hill-New Revised &amp; Updated Book Paperback, Napoleon Hill"""</t>
  </si>
  <si>
    <t>"""RBKGHGEWFEXWJT3D"""</t>
  </si>
  <si>
    <t>"""SKU:THANGRORICH"""</t>
  </si>
  <si>
    <t>2025-07-23 00:00:00</t>
  </si>
  <si>
    <t>126.0</t>
  </si>
  <si>
    <t>FAMNXL2600000055</t>
  </si>
  <si>
    <t>2025-07-24 00:00:00.0</t>
  </si>
  <si>
    <t>391760</t>
  </si>
  <si>
    <t>249.0</t>
  </si>
  <si>
    <t>0.126</t>
  </si>
  <si>
    <t>Satyendra Verma</t>
  </si>
  <si>
    <t>OD334831540289523100</t>
  </si>
  <si>
    <t>334831540289523100</t>
  </si>
  <si>
    <t>"""Who Will Cry When You Die + Life Amazing Secrets + Think Like A Monk 3 Book Combo Paperback, JMD BOOKS"""</t>
  </si>
  <si>
    <t>"""9781477480236"""</t>
  </si>
  <si>
    <t>"""SKU:WHO-MONK-LIFE01"""</t>
  </si>
  <si>
    <t>314.0</t>
  </si>
  <si>
    <t>FAMNXL2600000009</t>
  </si>
  <si>
    <t>2025-07-02 00:00:00.0</t>
  </si>
  <si>
    <t>688524</t>
  </si>
  <si>
    <t>Kerala</t>
  </si>
  <si>
    <t>0.314</t>
  </si>
  <si>
    <t>BALAGOPALA PRABHU</t>
  </si>
  <si>
    <t>OD434934553958986100</t>
  </si>
  <si>
    <t>434934553958986100</t>
  </si>
  <si>
    <t>"""Thinking, Fast and Slow Paperback, Kahneman Daniel"""</t>
  </si>
  <si>
    <t>"""9783641093747"""</t>
  </si>
  <si>
    <t>"""SKU:T-F-A-S"""</t>
  </si>
  <si>
    <t>2025-07-14 00:00:00</t>
  </si>
  <si>
    <t>FAMNXL2600000044</t>
  </si>
  <si>
    <t>785685</t>
  </si>
  <si>
    <t>Tanishjyoti Das</t>
  </si>
  <si>
    <t>OD435031769735833100</t>
  </si>
  <si>
    <t>435031769735833100</t>
  </si>
  <si>
    <t>2025-07-25 00:00:00</t>
  </si>
  <si>
    <t>125.0</t>
  </si>
  <si>
    <t>FAMNXL2600000058</t>
  </si>
  <si>
    <t>2025-07-26 00:00:00.0</t>
  </si>
  <si>
    <t>244713</t>
  </si>
  <si>
    <t>0.125</t>
  </si>
  <si>
    <t>Keshav</t>
  </si>
  <si>
    <t>OD434876435267351100</t>
  </si>
  <si>
    <t>434876435267351101</t>
  </si>
  <si>
    <t>"""The 7 Habits Of Highly Effective People Paperback, STEPHEN R. CONVEY"""</t>
  </si>
  <si>
    <t>"""RBKGQZBZQYQMP6JE"""</t>
  </si>
  <si>
    <t>"""SKU:7HABITS07"""</t>
  </si>
  <si>
    <t>2025-07-07 00:00:00</t>
  </si>
  <si>
    <t>FAMNXL2600000030</t>
  </si>
  <si>
    <t>2025-07-08 00:00:00.0</t>
  </si>
  <si>
    <t>522006</t>
  </si>
  <si>
    <t>Andhra Pradesh</t>
  </si>
  <si>
    <t>N RAMANJANEYULU</t>
  </si>
  <si>
    <t>OD434819866406396100</t>
  </si>
  <si>
    <t>434819866406396100</t>
  </si>
  <si>
    <t>2025-07-01 00:00:00</t>
  </si>
  <si>
    <t>FAMNXL2600000008</t>
  </si>
  <si>
    <t>2025-07-01 00:00:00.0</t>
  </si>
  <si>
    <t>360575</t>
  </si>
  <si>
    <t>Bhavesh Solanki</t>
  </si>
  <si>
    <t>OD434816385915423100</t>
  </si>
  <si>
    <t>434816385915423101</t>
  </si>
  <si>
    <t>-12.0</t>
  </si>
  <si>
    <t>116.0</t>
  </si>
  <si>
    <t>FAMNXL2600000007</t>
  </si>
  <si>
    <t>638101</t>
  </si>
  <si>
    <t>0.116</t>
  </si>
  <si>
    <t>Sakthivishnu Balaji</t>
  </si>
  <si>
    <t>OD434838853493875100</t>
  </si>
  <si>
    <t>434838853493875100</t>
  </si>
  <si>
    <t>FAMNXL2600000013</t>
  </si>
  <si>
    <t>560097</t>
  </si>
  <si>
    <t>Shilpa Aacharya</t>
  </si>
  <si>
    <t>FAMNXL2600000010</t>
  </si>
  <si>
    <t>OD334838086789810100</t>
  </si>
  <si>
    <t>334838086789810100</t>
  </si>
  <si>
    <t>"""The 5 Am Club Paperback, Robin Sharma"""</t>
  </si>
  <si>
    <t>"""RBKGT4UJ7UBGDZKQ"""</t>
  </si>
  <si>
    <t>"""SKU:5AM-01"""</t>
  </si>
  <si>
    <t>118.0</t>
  </si>
  <si>
    <t>FAMNXL2600000012</t>
  </si>
  <si>
    <t>570018</t>
  </si>
  <si>
    <t>0.118</t>
  </si>
  <si>
    <t>Rahul Mashal</t>
  </si>
  <si>
    <t>OD334906222915061100</t>
  </si>
  <si>
    <t>334906222915061107</t>
  </si>
  <si>
    <t>"""One Up On Wall Street  - Stock Market Books by Peter Lynch English, Paperback, Lynch Peter"""</t>
  </si>
  <si>
    <t>"""9780743200400"""</t>
  </si>
  <si>
    <t>"""SKU:ONEUP"""</t>
  </si>
  <si>
    <t>FAMNXL2600000037</t>
  </si>
  <si>
    <t>505001</t>
  </si>
  <si>
    <t>Telangana</t>
  </si>
  <si>
    <t>Perala Kaushik</t>
  </si>
  <si>
    <t>OD434900971665486100</t>
  </si>
  <si>
    <t>434900971665486101</t>
  </si>
  <si>
    <t>2025-07-10 00:00:00</t>
  </si>
  <si>
    <t>FAMNXL2600000036</t>
  </si>
  <si>
    <t>560085</t>
  </si>
  <si>
    <t>Shashank Laxman Kamath</t>
  </si>
  <si>
    <t>OD434901555950354100</t>
  </si>
  <si>
    <t>434901555950354100</t>
  </si>
  <si>
    <t>FAMNXL2600000035</t>
  </si>
  <si>
    <t>201012</t>
  </si>
  <si>
    <t>Nidhi Sharma</t>
  </si>
  <si>
    <t>OD434906137360248100</t>
  </si>
  <si>
    <t>434906137360248100</t>
  </si>
  <si>
    <t>FAMNXL2600000034</t>
  </si>
  <si>
    <t>227305</t>
  </si>
  <si>
    <t>Pranjal</t>
  </si>
  <si>
    <t>OD434902799579642100</t>
  </si>
  <si>
    <t>434902799579642100</t>
  </si>
  <si>
    <t>FAMNXL2600000033</t>
  </si>
  <si>
    <t>625002</t>
  </si>
  <si>
    <t>K Ramkumar</t>
  </si>
  <si>
    <t>OD334855766329554100</t>
  </si>
  <si>
    <t>334855766329554100</t>
  </si>
  <si>
    <t>"""Generic Set. Can't Hurt Me. Rich Dad. The Subtle. The Psychology Of Money. Combo Set Of 4 Books Paperback, Self help"""</t>
  </si>
  <si>
    <t>"""RBKHCYYGJ73RF7T5"""</t>
  </si>
  <si>
    <t>"""SKU:CANT-RICH-PSYCH-ART"""</t>
  </si>
  <si>
    <t>2025-07-05 00:00:00</t>
  </si>
  <si>
    <t>360.0</t>
  </si>
  <si>
    <t>FAMNXL2600000022</t>
  </si>
  <si>
    <t>2025-07-05 00:00:00.0</t>
  </si>
  <si>
    <t>751029</t>
  </si>
  <si>
    <t>0.36</t>
  </si>
  <si>
    <t>Proten Kumar Senapati</t>
  </si>
  <si>
    <t>OD434876104059469100</t>
  </si>
  <si>
    <t>434876104059469100</t>
  </si>
  <si>
    <t>FAMNXL2600000031</t>
  </si>
  <si>
    <t>735229</t>
  </si>
  <si>
    <t>Rupesh Darjee</t>
  </si>
  <si>
    <t>OD335023637351592100</t>
  </si>
  <si>
    <t>335023637351592100</t>
  </si>
  <si>
    <t>"""Rich Dad Poor Dad - Hindi Paperback, Robert T. Kiyosaki"""</t>
  </si>
  <si>
    <t>"""9788551004913"""</t>
  </si>
  <si>
    <t>"""SKU:RICH-DAD-HINDI03"""</t>
  </si>
  <si>
    <t>2025-07-24 00:00:00</t>
  </si>
  <si>
    <t>93.0</t>
  </si>
  <si>
    <t>FAMNXL2600000057</t>
  </si>
  <si>
    <t>231001</t>
  </si>
  <si>
    <t>0.093</t>
  </si>
  <si>
    <t>Akash Tyagi</t>
  </si>
  <si>
    <t>OD334881167457976100</t>
  </si>
  <si>
    <t>334881167457976100</t>
  </si>
  <si>
    <t>"""Energize Your Mind  - SELF MOTIVATED : Energize your mind by Gaur Gopal Dass English, Paperback, Das Gaur Gopal"""</t>
  </si>
  <si>
    <t>"""9780143442288"""</t>
  </si>
  <si>
    <t>"""SKU:ENERGIZE-YOUR-MIND"""</t>
  </si>
  <si>
    <t>2025-07-08 00:00:00</t>
  </si>
  <si>
    <t>113.0</t>
  </si>
  <si>
    <t>-11.0</t>
  </si>
  <si>
    <t>102.0</t>
  </si>
  <si>
    <t>-102.0</t>
  </si>
  <si>
    <t>RAKC4V2600000005</t>
  </si>
  <si>
    <t>794106</t>
  </si>
  <si>
    <t>Meghalaya</t>
  </si>
  <si>
    <t>0.102</t>
  </si>
  <si>
    <t>Mahmud Zaman</t>
  </si>
  <si>
    <t>OD435010203880411100</t>
  </si>
  <si>
    <t>435010203880411100</t>
  </si>
  <si>
    <t>"""Life's Amazing Secrets Paperback, Hindi, Das Gaur Gopal"""</t>
  </si>
  <si>
    <t>"""RBKHCF7NESMGJWYD"""</t>
  </si>
  <si>
    <t>"""SKU:LIFE02"""</t>
  </si>
  <si>
    <t>FAMNXL2600000054</t>
  </si>
  <si>
    <t>2025-07-23 00:00:00.0</t>
  </si>
  <si>
    <t>480337</t>
  </si>
  <si>
    <t>Madhya Pradesh</t>
  </si>
  <si>
    <t>230.0</t>
  </si>
  <si>
    <t>Nikhil Kinkar</t>
  </si>
  <si>
    <t>OD434937154161637100</t>
  </si>
  <si>
    <t>434937154161637100</t>
  </si>
  <si>
    <t>FAMNXL2600000051</t>
  </si>
  <si>
    <t>400053</t>
  </si>
  <si>
    <t>Aanya Tiwari</t>
  </si>
  <si>
    <t>OD334841814443707100</t>
  </si>
  <si>
    <t>334841814443707100</t>
  </si>
  <si>
    <t>FAMNXL2600000017</t>
  </si>
  <si>
    <t>2025-07-04 00:00:00.0</t>
  </si>
  <si>
    <t>411037</t>
  </si>
  <si>
    <t>Ram Bhishnoi</t>
  </si>
  <si>
    <t>OD434842799840153100</t>
  </si>
  <si>
    <t>434842799840153100</t>
  </si>
  <si>
    <t>2025-07-04 00:00:00</t>
  </si>
  <si>
    <t>FAMNXL2600000015</t>
  </si>
  <si>
    <t>500072</t>
  </si>
  <si>
    <t>Ravi</t>
  </si>
  <si>
    <t>OD434865972890453100</t>
  </si>
  <si>
    <t>434865972890453100</t>
  </si>
  <si>
    <t>"""Who will cry when you Die + Mindset 2 Book Coombo Paperback, JMD BOOKS"""</t>
  </si>
  <si>
    <t>"""9789516015418"""</t>
  </si>
  <si>
    <t>"""SKU:WHO-MINDSET"""</t>
  </si>
  <si>
    <t>2025-07-06 00:00:00</t>
  </si>
  <si>
    <t>214.0</t>
  </si>
  <si>
    <t>-16.0</t>
  </si>
  <si>
    <t>198.0</t>
  </si>
  <si>
    <t>-198.0</t>
  </si>
  <si>
    <t>RAKC4V2600000002</t>
  </si>
  <si>
    <t>2025-07-09 00:00:00.0</t>
  </si>
  <si>
    <t>143604</t>
  </si>
  <si>
    <t>Punjab</t>
  </si>
  <si>
    <t>329.0</t>
  </si>
  <si>
    <t>0.198</t>
  </si>
  <si>
    <t>Dikshant</t>
  </si>
  <si>
    <t>OD335023683698923100</t>
  </si>
  <si>
    <t>335023683698923100</t>
  </si>
  <si>
    <t>"""Who Will Cry When You Die? Paperback, Robin Sharma"""</t>
  </si>
  <si>
    <t>"""RBKGX8NRN7QCYDXP"""</t>
  </si>
  <si>
    <t>"""SKU:WHO-WILL-CRY03"""</t>
  </si>
  <si>
    <t>FAMNXL2600000056</t>
  </si>
  <si>
    <t>360005</t>
  </si>
  <si>
    <t>199.0</t>
  </si>
  <si>
    <t>Popat Tanisha</t>
  </si>
  <si>
    <t>OD434840061715717100</t>
  </si>
  <si>
    <t>434840061715717100</t>
  </si>
  <si>
    <t>"""Can't Hurt Me Paperback, David Goggins"""</t>
  </si>
  <si>
    <t>"""9781702780322"""</t>
  </si>
  <si>
    <t>"""SKU:CANT"""</t>
  </si>
  <si>
    <t>FAMNXL2600000018</t>
  </si>
  <si>
    <t>507001</t>
  </si>
  <si>
    <t>Radhika</t>
  </si>
  <si>
    <t>OD334970961976888100</t>
  </si>
  <si>
    <t>334970961976888100</t>
  </si>
  <si>
    <t>"""Who Will Cry When You Die? Paperback, Robin Sharma Paperback, Robin Sharma"""</t>
  </si>
  <si>
    <t>"""RBKHB9HJMHVREPGP"""</t>
  </si>
  <si>
    <t>"""SKU:WHO-WILL-CRY01"""</t>
  </si>
  <si>
    <t>2025-07-18 00:00:00</t>
  </si>
  <si>
    <t>-77.0</t>
  </si>
  <si>
    <t>RAKC4V2600000006</t>
  </si>
  <si>
    <t>791110</t>
  </si>
  <si>
    <t>Arunachal Pradesh</t>
  </si>
  <si>
    <t>178.0</t>
  </si>
  <si>
    <t>Jitsar Siyum</t>
  </si>
  <si>
    <t>OD434845793292661100</t>
  </si>
  <si>
    <t>434845793292661100</t>
  </si>
  <si>
    <t>FAMNXL2600000016</t>
  </si>
  <si>
    <t>306401</t>
  </si>
  <si>
    <t>Rajasthan</t>
  </si>
  <si>
    <t>0.113</t>
  </si>
  <si>
    <t>Sachin Chaudhary</t>
  </si>
  <si>
    <t>OD334863418748337100</t>
  </si>
  <si>
    <t>334863418748337100</t>
  </si>
  <si>
    <t>FAMNXL2600000025</t>
  </si>
  <si>
    <t>2025-07-06 00:00:00.0</t>
  </si>
  <si>
    <t>140306</t>
  </si>
  <si>
    <t>Jitesh</t>
  </si>
  <si>
    <t>OD334986381516786100</t>
  </si>
  <si>
    <t>334986381516786100</t>
  </si>
  <si>
    <t>FAMNXL2600000053</t>
  </si>
  <si>
    <t>2025-07-21 00:00:00.0</t>
  </si>
  <si>
    <t>501510</t>
  </si>
  <si>
    <t>Chandra Shaker Reddy</t>
  </si>
  <si>
    <t>OD434869021690380100</t>
  </si>
  <si>
    <t>434869021690380100</t>
  </si>
  <si>
    <t>"""The Warren Buffett Way, Third Edition Paperback, THEWARRENBUFFET-1"""</t>
  </si>
  <si>
    <t>"""RBKGTKP2MNMRMEZH"""</t>
  </si>
  <si>
    <t>"""SKU:THEWARRENBUFFET-1"""</t>
  </si>
  <si>
    <t>188.0</t>
  </si>
  <si>
    <t>FAMNXL2600000028</t>
  </si>
  <si>
    <t>2025-07-07 00:00:00.0</t>
  </si>
  <si>
    <t>823001</t>
  </si>
  <si>
    <t>Bihar</t>
  </si>
  <si>
    <t>0.188</t>
  </si>
  <si>
    <t>Gufran Yaqub</t>
  </si>
  <si>
    <t>-93.0</t>
  </si>
  <si>
    <t>RAKC4V2600000010</t>
  </si>
  <si>
    <t>2025-07-30 00:00:00.0</t>
  </si>
  <si>
    <t>OD434857085931239100</t>
  </si>
  <si>
    <t>434857085931239104</t>
  </si>
  <si>
    <t>FAMNXL2600000024</t>
  </si>
  <si>
    <t>160003</t>
  </si>
  <si>
    <t>Rakesh Yadav</t>
  </si>
  <si>
    <t>OD434844166781220100</t>
  </si>
  <si>
    <t>434844166781220100</t>
  </si>
  <si>
    <t>"""The Psychology of Money + The 5 AM Club 2 Book Combo Paperback, JMD BOOKS"""</t>
  </si>
  <si>
    <t>"""9788459836142"""</t>
  </si>
  <si>
    <t>"""SKU:PSYCH-5AM"""</t>
  </si>
  <si>
    <t>218.0</t>
  </si>
  <si>
    <t>FAMNXL2600000014</t>
  </si>
  <si>
    <t>400093</t>
  </si>
  <si>
    <t>0.218</t>
  </si>
  <si>
    <t>Mohit Agrawal</t>
  </si>
  <si>
    <t>OD434859016258708100</t>
  </si>
  <si>
    <t>434859016258708101</t>
  </si>
  <si>
    <t>"""Do Epic Shit Paperback, Warikoo Ankur"""</t>
  </si>
  <si>
    <t>"""RBKHCX5KF3APA2GH"""</t>
  </si>
  <si>
    <t>"""SKU:DO-EPIC-SHIT03"""</t>
  </si>
  <si>
    <t>108.0</t>
  </si>
  <si>
    <t>FAMNXL2600000023</t>
  </si>
  <si>
    <t>110016</t>
  </si>
  <si>
    <t>Delhi</t>
  </si>
  <si>
    <t>219.0</t>
  </si>
  <si>
    <t>0.108</t>
  </si>
  <si>
    <t>Kriti Sardana</t>
  </si>
  <si>
    <t>FAMNXL2600000029</t>
  </si>
  <si>
    <t>OD334854624775675100</t>
  </si>
  <si>
    <t>334854624775675101</t>
  </si>
  <si>
    <t>FAMNXL2600000021</t>
  </si>
  <si>
    <t>422101</t>
  </si>
  <si>
    <t>Shrividya Hujband</t>
  </si>
  <si>
    <t>FAMNXL2600000032</t>
  </si>
  <si>
    <t>-126.0</t>
  </si>
  <si>
    <t>RAKC4V2600000009</t>
  </si>
  <si>
    <t>2025-07-27 00:00:00.0</t>
  </si>
  <si>
    <t>OD334864498030796100</t>
  </si>
  <si>
    <t>334864498030796100</t>
  </si>
  <si>
    <t>FAMNXL2600000027</t>
  </si>
  <si>
    <t>582101</t>
  </si>
  <si>
    <t>Maruti Kampli</t>
  </si>
  <si>
    <t>OD334854432596949100</t>
  </si>
  <si>
    <t>334854432596949100</t>
  </si>
  <si>
    <t>-2.0</t>
  </si>
  <si>
    <t>136.0</t>
  </si>
  <si>
    <t>FAMNXL2600000019</t>
  </si>
  <si>
    <t>412106</t>
  </si>
  <si>
    <t>0.136</t>
  </si>
  <si>
    <t>Raziya Pathan</t>
  </si>
  <si>
    <t>OD335041842560596100</t>
  </si>
  <si>
    <t>335041842560596100</t>
  </si>
  <si>
    <t>"""Doglapan: The Hard Truth about Life and Start-Ups Paperback, Ashneer Grover"""</t>
  </si>
  <si>
    <t>"""9784843638217"""</t>
  </si>
  <si>
    <t>"""SKU:DOGLAPAN03"""</t>
  </si>
  <si>
    <t>2025-07-27 00:00:00</t>
  </si>
  <si>
    <t>-136.0</t>
  </si>
  <si>
    <t>RAKC4V2600000008</t>
  </si>
  <si>
    <t>711226</t>
  </si>
  <si>
    <t>204.0</t>
  </si>
  <si>
    <t>Soumya Ganguly</t>
  </si>
  <si>
    <t>FAMNXL2600000059</t>
  </si>
  <si>
    <t>FAMNXL2600000049</t>
  </si>
  <si>
    <t>OD434864148104370100</t>
  </si>
  <si>
    <t>434864148104370100</t>
  </si>
  <si>
    <t>"""Good To Great SOFTCOVER, JIM COLLINS"""</t>
  </si>
  <si>
    <t>"""RBKFVGYXYVCMYWYF"""</t>
  </si>
  <si>
    <t>"""SKU:GOTOGRE_02"""</t>
  </si>
  <si>
    <t>101.0</t>
  </si>
  <si>
    <t>FAMNXL2600000026</t>
  </si>
  <si>
    <t>442202</t>
  </si>
  <si>
    <t>271.0</t>
  </si>
  <si>
    <t>0.101</t>
  </si>
  <si>
    <t>Pritam Sarode</t>
  </si>
  <si>
    <t>OD434848730878101100</t>
  </si>
  <si>
    <t>434848730878101100</t>
  </si>
  <si>
    <t>FAMNXL2600000020</t>
  </si>
  <si>
    <t>533407</t>
  </si>
  <si>
    <t>OD335190592152605100</t>
  </si>
  <si>
    <t>335190592152605100</t>
  </si>
  <si>
    <t>"""Doglapan Paperback, ASHEER GROVER"""</t>
  </si>
  <si>
    <t>"""RBKGWNNGFHREGW5V"""</t>
  </si>
  <si>
    <t>"""SKU:DOGLAPAN02"""</t>
  </si>
  <si>
    <t>2025-08-13 00:00:00</t>
  </si>
  <si>
    <t>124.0</t>
  </si>
  <si>
    <t>-26.0</t>
  </si>
  <si>
    <t>98.0</t>
  </si>
  <si>
    <t>FAMNXL2600000067</t>
  </si>
  <si>
    <t>2025-08-13 00:00:00.0</t>
  </si>
  <si>
    <t>400099</t>
  </si>
  <si>
    <t>165.0</t>
  </si>
  <si>
    <t>0.098</t>
  </si>
  <si>
    <t>Ajay Nikam</t>
  </si>
  <si>
    <t>OD335185485062824100</t>
  </si>
  <si>
    <t>335185485062824100</t>
  </si>
  <si>
    <t>2025-08-12 00:00:00</t>
  </si>
  <si>
    <t>109.0</t>
  </si>
  <si>
    <t>FAMNXL2600000066</t>
  </si>
  <si>
    <t>423110</t>
  </si>
  <si>
    <t>0.109</t>
  </si>
  <si>
    <t>Sneha Aher</t>
  </si>
  <si>
    <t>OD335142817879845100</t>
  </si>
  <si>
    <t>335142817879845100</t>
  </si>
  <si>
    <t>2025-08-07 00:00:00</t>
  </si>
  <si>
    <t>135.0</t>
  </si>
  <si>
    <t>-17.0</t>
  </si>
  <si>
    <t>-118.0</t>
  </si>
  <si>
    <t>RAKC4V2600000011</t>
  </si>
  <si>
    <t>803110</t>
  </si>
  <si>
    <t>Dipanshukumar</t>
  </si>
  <si>
    <t>OD335098325997817100</t>
  </si>
  <si>
    <t>335098325997817100</t>
  </si>
  <si>
    <t>2025-08-02 00:00:00</t>
  </si>
  <si>
    <t>119.0</t>
  </si>
  <si>
    <t>FAMNXL2600000061</t>
  </si>
  <si>
    <t>2025-08-02 00:00:00.0</t>
  </si>
  <si>
    <t>221409</t>
  </si>
  <si>
    <t>140.0</t>
  </si>
  <si>
    <t>Shah Alam Ansari</t>
  </si>
  <si>
    <t>OD335118022917436100</t>
  </si>
  <si>
    <t>335118022917436100</t>
  </si>
  <si>
    <t>2025-08-04 00:00:00</t>
  </si>
  <si>
    <t>FAMNXL2600000062</t>
  </si>
  <si>
    <t>2025-08-05 00:00:00.0</t>
  </si>
  <si>
    <t>110034</t>
  </si>
  <si>
    <t>Ajai Nyma</t>
  </si>
  <si>
    <t>OD335212467491140100</t>
  </si>
  <si>
    <t>335212467491140103</t>
  </si>
  <si>
    <t>"""Karma English, Paperback, Sadhguru"""</t>
  </si>
  <si>
    <t>"""9780143452676"""</t>
  </si>
  <si>
    <t>"""SKU:KARMA-2"""</t>
  </si>
  <si>
    <t>2025-08-15 00:00:00</t>
  </si>
  <si>
    <t>155.0</t>
  </si>
  <si>
    <t>-7.0</t>
  </si>
  <si>
    <t>148.0</t>
  </si>
  <si>
    <t>FAMNXL2600000070</t>
  </si>
  <si>
    <t>2025-08-17 00:00:00.0</t>
  </si>
  <si>
    <t>504208</t>
  </si>
  <si>
    <t>0.148</t>
  </si>
  <si>
    <t>Ranjith Kumar K</t>
  </si>
  <si>
    <t>OD335089274222513100</t>
  </si>
  <si>
    <t>335089274222513100</t>
  </si>
  <si>
    <t>2025-08-01 00:00:00</t>
  </si>
  <si>
    <t>FAMNXL2600000060</t>
  </si>
  <si>
    <t>2025-08-01 00:00:00.0</t>
  </si>
  <si>
    <t>136119</t>
  </si>
  <si>
    <t>Haryana</t>
  </si>
  <si>
    <t>Surjeet Singh</t>
  </si>
  <si>
    <t>OD335178070584353100</t>
  </si>
  <si>
    <t>335178070584353101</t>
  </si>
  <si>
    <t>2025-08-11 00:00:00</t>
  </si>
  <si>
    <t>FAMNXL2600000068</t>
  </si>
  <si>
    <t>673525</t>
  </si>
  <si>
    <t>Dr Harikrishnan G</t>
  </si>
  <si>
    <t>OD335213047054512100</t>
  </si>
  <si>
    <t>335213047054512100</t>
  </si>
  <si>
    <t>-20.0</t>
  </si>
  <si>
    <t>104.0</t>
  </si>
  <si>
    <t>FAMNXL2600000069</t>
  </si>
  <si>
    <t>416414</t>
  </si>
  <si>
    <t>0.104</t>
  </si>
  <si>
    <t>OD435241101822526100</t>
  </si>
  <si>
    <t>435241101822526100</t>
  </si>
  <si>
    <t>"""Do More Better English, Paperback, Challies Tim"""</t>
  </si>
  <si>
    <t>"""9781941114179"""</t>
  </si>
  <si>
    <t>"""SKU:DOMORE-4"""</t>
  </si>
  <si>
    <t>2025-08-19 00:00:00</t>
  </si>
  <si>
    <t>FAMNXL2600000071</t>
  </si>
  <si>
    <t>2025-08-19 00:00:00.0</t>
  </si>
  <si>
    <t>522601</t>
  </si>
  <si>
    <t>190.0</t>
  </si>
  <si>
    <t>Bala Swami</t>
  </si>
  <si>
    <t>OD335325527836414100</t>
  </si>
  <si>
    <t>335325527836414100</t>
  </si>
  <si>
    <t>2025-08-28 00:00:00</t>
  </si>
  <si>
    <t>-9.0</t>
  </si>
  <si>
    <t>107.0</t>
  </si>
  <si>
    <t>FAMNXL2600000075</t>
  </si>
  <si>
    <t>2025-08-28 00:00:00.0</t>
  </si>
  <si>
    <t>786153</t>
  </si>
  <si>
    <t>0.107</t>
  </si>
  <si>
    <t>Rashmirekha Borgohain</t>
  </si>
  <si>
    <t>335213047054512101</t>
  </si>
  <si>
    <t>2025-08-24 00:00:00</t>
  </si>
  <si>
    <t>FAMNXL2600000072</t>
  </si>
  <si>
    <t>2025-08-24 00:00:00.0</t>
  </si>
  <si>
    <t>-104.0</t>
  </si>
  <si>
    <t>RAKC4V2600000015</t>
  </si>
  <si>
    <t>-109.0</t>
  </si>
  <si>
    <t>RAKC4V2600000014</t>
  </si>
  <si>
    <t>2025-08-22 00:00:00.0</t>
  </si>
  <si>
    <t>OD435178971108014100</t>
  </si>
  <si>
    <t>435178971108014100</t>
  </si>
  <si>
    <t>FAMNXL2600000065</t>
  </si>
  <si>
    <t>2025-08-11 00:00:00.0</t>
  </si>
  <si>
    <t>521001</t>
  </si>
  <si>
    <t>Manne Gana Pranav</t>
  </si>
  <si>
    <t>OD335145499144109100</t>
  </si>
  <si>
    <t>335145499144109100</t>
  </si>
  <si>
    <t>"""Rice Dad Poor Dad Paperback, Hindi, Sharon L. Lechter"""</t>
  </si>
  <si>
    <t>"""RBKGS4JZ4FUNUSWM"""</t>
  </si>
  <si>
    <t>"""SKU:RICH-DAD-HINDI02"""</t>
  </si>
  <si>
    <t>2025-08-08 00:00:00</t>
  </si>
  <si>
    <t>74.0</t>
  </si>
  <si>
    <t>-18.0</t>
  </si>
  <si>
    <t>56.0</t>
  </si>
  <si>
    <t>FAMNXL2600000064</t>
  </si>
  <si>
    <t>382421</t>
  </si>
  <si>
    <t>0.056</t>
  </si>
  <si>
    <t>Balwant Singh Chouhan</t>
  </si>
  <si>
    <t>RAKC4V2600000013</t>
  </si>
  <si>
    <t>OD435307189530809100</t>
  </si>
  <si>
    <t>435307189530809100</t>
  </si>
  <si>
    <t>2025-08-26 00:00:00</t>
  </si>
  <si>
    <t>168.0</t>
  </si>
  <si>
    <t>FAMNXL2600000073</t>
  </si>
  <si>
    <t>2025-08-26 00:00:00.0</t>
  </si>
  <si>
    <t>321407</t>
  </si>
  <si>
    <t>0.168</t>
  </si>
  <si>
    <t>Gursewak Singh Brar</t>
  </si>
  <si>
    <t>RAKC4V2600000016</t>
  </si>
  <si>
    <t>B8B1R2600000001</t>
  </si>
  <si>
    <t>OD335347817780971100</t>
  </si>
  <si>
    <t>335347817780971100</t>
  </si>
  <si>
    <t>"""The Magic Of Thinking Big + Ikigai Journey 2 Book Combo Paperback, JMD BOOKS"""</t>
  </si>
  <si>
    <t>"""9780315535169"""</t>
  </si>
  <si>
    <t>"""SKU:THE-MAGIC-IKIGAI"""</t>
  </si>
  <si>
    <t>2025-08-31 00:00:00</t>
  </si>
  <si>
    <t>FAMNXL2600000077</t>
  </si>
  <si>
    <t>2025-08-31 00:00:00.0</t>
  </si>
  <si>
    <t>700093</t>
  </si>
  <si>
    <t>0.204</t>
  </si>
  <si>
    <t>Abhijit Pani Home</t>
  </si>
  <si>
    <t>OD435347570267230100</t>
  </si>
  <si>
    <t>435347570267230100</t>
  </si>
  <si>
    <t>FAMNXL2600000078</t>
  </si>
  <si>
    <t>560086</t>
  </si>
  <si>
    <t>Chethan</t>
  </si>
  <si>
    <t>FAMNXL2600000063</t>
  </si>
  <si>
    <t>OD435325167685989100</t>
  </si>
  <si>
    <t>435325167685989100</t>
  </si>
  <si>
    <t>"""Do Epic Shit English, Paperback, Warikoo Ankur"""</t>
  </si>
  <si>
    <t>"""9789393986283"""</t>
  </si>
  <si>
    <t>"""SKU:DO-EPIC-SHIT01"""</t>
  </si>
  <si>
    <t>FAMNXL2600000074</t>
  </si>
  <si>
    <t>110030</t>
  </si>
  <si>
    <t>99.0</t>
  </si>
  <si>
    <t>0.124</t>
  </si>
  <si>
    <t>BHUPENDRA KATARA</t>
  </si>
  <si>
    <t>OD335334188085535100</t>
  </si>
  <si>
    <t>335334188085535101</t>
  </si>
  <si>
    <t>"""The Magic of Thinking Big Paperback, David J. Schwartz"""</t>
  </si>
  <si>
    <t>"""9789026699115"""</t>
  </si>
  <si>
    <t>"""SKU:THE-MAGIC01"""</t>
  </si>
  <si>
    <t>2025-08-29 00:00:00</t>
  </si>
  <si>
    <t>132.0</t>
  </si>
  <si>
    <t>FAMNXL2600000076</t>
  </si>
  <si>
    <t>2025-08-30 00:00:00.0</t>
  </si>
  <si>
    <t>422003</t>
  </si>
  <si>
    <t>195.0</t>
  </si>
  <si>
    <t>0.132</t>
  </si>
  <si>
    <t>Rupali Prashant Bhojane</t>
  </si>
  <si>
    <t>-98.0</t>
  </si>
  <si>
    <t>RAKC4V2600000012</t>
  </si>
  <si>
    <t>2025-08-15 00:00:00.0</t>
  </si>
  <si>
    <t>OD435511406634891100</t>
  </si>
  <si>
    <t>435511406634891100</t>
  </si>
  <si>
    <t>"""Stop Overthinking: A Simple Guide To Living A Stress-Free Life Paperback, STOPOVERTHINKING-1"""</t>
  </si>
  <si>
    <t>"""RBKGTKP3F5ZPGGQH"""</t>
  </si>
  <si>
    <t>"""SKU:STOPOVERTHINKING-1"""</t>
  </si>
  <si>
    <t>2025-09-19 00:00:00</t>
  </si>
  <si>
    <t>97.0</t>
  </si>
  <si>
    <t>FAMNXL2600000085</t>
  </si>
  <si>
    <t>2025-09-22 00:00:00.0</t>
  </si>
  <si>
    <t>600097</t>
  </si>
  <si>
    <t>0.097</t>
  </si>
  <si>
    <t>Mehataj</t>
  </si>
  <si>
    <t>OD435563666140840100</t>
  </si>
  <si>
    <t>435563666140840100</t>
  </si>
  <si>
    <t>2025-09-25 00:00:00</t>
  </si>
  <si>
    <t>-14.2</t>
  </si>
  <si>
    <t>-5.8</t>
  </si>
  <si>
    <t>184.0</t>
  </si>
  <si>
    <t>FAMNXL2600000087</t>
  </si>
  <si>
    <t>2025-09-25 00:00:00.0</t>
  </si>
  <si>
    <t>495119</t>
  </si>
  <si>
    <t>Chhattisgarh</t>
  </si>
  <si>
    <t>0.184</t>
  </si>
  <si>
    <t>Asha Porte</t>
  </si>
  <si>
    <t>OD335548124898213100</t>
  </si>
  <si>
    <t>335548124898213100</t>
  </si>
  <si>
    <t>2025-09-23 00:00:00</t>
  </si>
  <si>
    <t>130.0</t>
  </si>
  <si>
    <t>-9.94</t>
  </si>
  <si>
    <t>-4.06</t>
  </si>
  <si>
    <t>FAMNXL2600000086</t>
  </si>
  <si>
    <t>2025-09-23 00:00:00.0</t>
  </si>
  <si>
    <t>249203</t>
  </si>
  <si>
    <t>T Niangneivah</t>
  </si>
  <si>
    <t>OD335608734099642100</t>
  </si>
  <si>
    <t>335608734099642100</t>
  </si>
  <si>
    <t>2025-09-30 00:00:00</t>
  </si>
  <si>
    <t>FAMNXL2600000089</t>
  </si>
  <si>
    <t>2025-09-30 00:00:00.0</t>
  </si>
  <si>
    <t>800002</t>
  </si>
  <si>
    <t>Kajal Kumari</t>
  </si>
  <si>
    <t>OD335576138663797100</t>
  </si>
  <si>
    <t>335576138663797100</t>
  </si>
  <si>
    <t>"""The Courage To Be Disliked Paperback, ICHIRO KISHIMI"""</t>
  </si>
  <si>
    <t>"""RBKHD977G9ETW5N8"""</t>
  </si>
  <si>
    <t>"""SKU:THE-COURAGE01"""</t>
  </si>
  <si>
    <t>2025-09-26 00:00:00</t>
  </si>
  <si>
    <t>120.0</t>
  </si>
  <si>
    <t>110.0</t>
  </si>
  <si>
    <t>FAMNXL2600000088</t>
  </si>
  <si>
    <t>2025-09-26 00:00:00.0</t>
  </si>
  <si>
    <t>602025</t>
  </si>
  <si>
    <t>0.11</t>
  </si>
  <si>
    <t>Varad</t>
  </si>
  <si>
    <t>OD435359362757903100</t>
  </si>
  <si>
    <t>435359362757903100</t>
  </si>
  <si>
    <t>2025-09-01 00:00:00</t>
  </si>
  <si>
    <t>-30.0</t>
  </si>
  <si>
    <t>RAKC4V2600000017</t>
  </si>
  <si>
    <t>2025-09-11 00:00:00.0</t>
  </si>
  <si>
    <t>110096</t>
  </si>
  <si>
    <t>Chandan</t>
  </si>
  <si>
    <t>OD335461772171297100</t>
  </si>
  <si>
    <t>335461772171297100</t>
  </si>
  <si>
    <t>2025-09-13 00:00:00</t>
  </si>
  <si>
    <t>-12.07</t>
  </si>
  <si>
    <t>-4.93</t>
  </si>
  <si>
    <t>151.0</t>
  </si>
  <si>
    <t>FAMNXL2600000084</t>
  </si>
  <si>
    <t>2025-09-13 00:00:00.0</t>
  </si>
  <si>
    <t>176031</t>
  </si>
  <si>
    <t>Himachal Pradesh</t>
  </si>
  <si>
    <t>0.151</t>
  </si>
  <si>
    <t>Vishal Rana</t>
  </si>
  <si>
    <t>FAMNXL2600000080</t>
  </si>
  <si>
    <t>2025-09-01 00:00:00.0</t>
  </si>
  <si>
    <t>OD435367160151091100</t>
  </si>
  <si>
    <t>435367160151091109</t>
  </si>
  <si>
    <t>2025-09-02 00:00:00</t>
  </si>
  <si>
    <t>FAMNXL2600000081</t>
  </si>
  <si>
    <t>2025-09-02 00:00:00.0</t>
  </si>
  <si>
    <t>712258</t>
  </si>
  <si>
    <t>0.13</t>
  </si>
  <si>
    <t>Shailesh</t>
  </si>
  <si>
    <t>OD335376053120901100</t>
  </si>
  <si>
    <t>335376053120901100</t>
  </si>
  <si>
    <t>2025-09-03 00:00:00</t>
  </si>
  <si>
    <t>106.0</t>
  </si>
  <si>
    <t>FAMNXL2600000082</t>
  </si>
  <si>
    <t>2025-09-03 00:00:00.0</t>
  </si>
  <si>
    <t>0.106</t>
  </si>
  <si>
    <t>OD435383254825674100</t>
  </si>
  <si>
    <t>435383254825674100</t>
  </si>
  <si>
    <t>2025-09-04 00:00:00</t>
  </si>
  <si>
    <t>-22.0</t>
  </si>
  <si>
    <t>182.0</t>
  </si>
  <si>
    <t>FAMNXL2600000083</t>
  </si>
  <si>
    <t>2025-09-04 00:00:00.0</t>
  </si>
  <si>
    <t>580008</t>
  </si>
  <si>
    <t>0.182</t>
  </si>
  <si>
    <t>Shobha H</t>
  </si>
  <si>
    <t>-151.0</t>
  </si>
  <si>
    <t>RAKC4V2600000018</t>
  </si>
  <si>
    <t>2025-09-21 00:00:00.0</t>
  </si>
  <si>
    <t>OD335355629113614100</t>
  </si>
  <si>
    <t>335355629113614100</t>
  </si>
  <si>
    <t>"""Atomic Habits: Chote Badlav, Asadharan Parinaam Paperback, Hindi, James Clear"""</t>
  </si>
  <si>
    <t>"""RBKHADV2H3JRFY4J"""</t>
  </si>
  <si>
    <t>"""SKU:ATOMIC-HABIT-HINDI"""</t>
  </si>
  <si>
    <t>79.0</t>
  </si>
  <si>
    <t>FAMNXL2600000079</t>
  </si>
  <si>
    <t>462022</t>
  </si>
  <si>
    <t>0.079</t>
  </si>
  <si>
    <t>Mukesh Kumar</t>
  </si>
  <si>
    <t>OD335637632201925100</t>
  </si>
  <si>
    <t>335637632201925100</t>
  </si>
  <si>
    <t>2025-10-04 00:00:00</t>
  </si>
  <si>
    <t>FAMNXL2600000091</t>
  </si>
  <si>
    <t>2025-10-04 00:00:00.0</t>
  </si>
  <si>
    <t>208025</t>
  </si>
  <si>
    <t>Wareesha</t>
  </si>
  <si>
    <t>OD435640606046495100</t>
  </si>
  <si>
    <t>435640606046495101</t>
  </si>
  <si>
    <t>FAMNXL2600000092</t>
  </si>
  <si>
    <t>560057</t>
  </si>
  <si>
    <t>Sri Ram Kulkarni</t>
  </si>
  <si>
    <t>OD435643050393536100</t>
  </si>
  <si>
    <t>435643050393536100</t>
  </si>
  <si>
    <t>FAMNXL2600000093</t>
  </si>
  <si>
    <t>324004</t>
  </si>
  <si>
    <t>0.12</t>
  </si>
  <si>
    <t>Kusum Pareta</t>
  </si>
  <si>
    <t>OD435652266104442100</t>
  </si>
  <si>
    <t>435652266104442100</t>
  </si>
  <si>
    <t>2025-10-05 00:00:00</t>
  </si>
  <si>
    <t>RAKC4V2600000020</t>
  </si>
  <si>
    <t>2025-10-06 00:00:00.0</t>
  </si>
  <si>
    <t>722136</t>
  </si>
  <si>
    <t>Santanu Mahadani</t>
  </si>
  <si>
    <t>OD435641341195988100</t>
  </si>
  <si>
    <t>435641341195988100</t>
  </si>
  <si>
    <t>FAMNXL2600000094</t>
  </si>
  <si>
    <t>2025-10-05 00:00:00.0</t>
  </si>
  <si>
    <t>412101</t>
  </si>
  <si>
    <t>Hemant Ahire</t>
  </si>
  <si>
    <t>OD435642584062459100</t>
  </si>
  <si>
    <t>435642584062459100</t>
  </si>
  <si>
    <t>FAMNXL2600000095</t>
  </si>
  <si>
    <t>560045</t>
  </si>
  <si>
    <t>Harsh Maurya</t>
  </si>
  <si>
    <t>OD335640871819483100</t>
  </si>
  <si>
    <t>335640871819483102</t>
  </si>
  <si>
    <t>FAMNXL2600000098</t>
  </si>
  <si>
    <t>122004</t>
  </si>
  <si>
    <t>Dharmendra</t>
  </si>
  <si>
    <t>OD435642086889668100</t>
  </si>
  <si>
    <t>435642086889668100</t>
  </si>
  <si>
    <t>100.0</t>
  </si>
  <si>
    <t>FAMNXL2600000097</t>
  </si>
  <si>
    <t>804403</t>
  </si>
  <si>
    <t>Rudra</t>
  </si>
  <si>
    <t>OD435641636651647100</t>
  </si>
  <si>
    <t>435641636651647100</t>
  </si>
  <si>
    <t>FAMNXL2600000099</t>
  </si>
  <si>
    <t>201009</t>
  </si>
  <si>
    <t>Ritik Pathak</t>
  </si>
  <si>
    <t>OD435642257304161100</t>
  </si>
  <si>
    <t>435642257304161103</t>
  </si>
  <si>
    <t>FAMNXL2600000096</t>
  </si>
  <si>
    <t>440017</t>
  </si>
  <si>
    <t>Shreya Gadlinge</t>
  </si>
  <si>
    <t>OD335659945199884100</t>
  </si>
  <si>
    <t>335659945199884100</t>
  </si>
  <si>
    <t>2025-10-06 00:00:00</t>
  </si>
  <si>
    <t>FAMNXL2600000102</t>
  </si>
  <si>
    <t>2025-10-07 00:00:00.0</t>
  </si>
  <si>
    <t>413531</t>
  </si>
  <si>
    <t>RAKHI BADEKAR</t>
  </si>
  <si>
    <t>OD335633498054371100</t>
  </si>
  <si>
    <t>335633498054371100</t>
  </si>
  <si>
    <t>"""The Magic Of Big Thinking Paperback, Schwartz David J Paperback, Schwartz David J"""</t>
  </si>
  <si>
    <t>"""RBKGWA38TAPS5TEK"""</t>
  </si>
  <si>
    <t>"""SKU:THE-MAGIC04"""</t>
  </si>
  <si>
    <t>2025-10-03 00:00:00</t>
  </si>
  <si>
    <t>FAMNXL2600000101</t>
  </si>
  <si>
    <t>602026</t>
  </si>
  <si>
    <t>Nithya Namachivayam</t>
  </si>
  <si>
    <t>B8B1R2600000003</t>
  </si>
  <si>
    <t>2025-10-11 00:00:00.0</t>
  </si>
  <si>
    <t>-110.0</t>
  </si>
  <si>
    <t>RAKC4V2600000021</t>
  </si>
  <si>
    <t>OD335718137533689100</t>
  </si>
  <si>
    <t>335718137533689101</t>
  </si>
  <si>
    <t>"""The Psychology of Money Paperback, Housel Morgan"""</t>
  </si>
  <si>
    <t>"""9786297116129"""</t>
  </si>
  <si>
    <t>"""SKU:PSYCH05"""</t>
  </si>
  <si>
    <t>2025-10-13 00:00:00</t>
  </si>
  <si>
    <t>-13.0</t>
  </si>
  <si>
    <t>-9.23</t>
  </si>
  <si>
    <t>-3.77</t>
  </si>
  <si>
    <t>FAMNXL2600000104</t>
  </si>
  <si>
    <t>2025-10-14 00:00:00.0</t>
  </si>
  <si>
    <t>110045</t>
  </si>
  <si>
    <t>Mihir N</t>
  </si>
  <si>
    <t>RAKC4V2600000019</t>
  </si>
  <si>
    <t>2025-10-01 00:00:00.0</t>
  </si>
  <si>
    <t>FAMNXL2600000090</t>
  </si>
  <si>
    <t>Rajeev Kumar</t>
  </si>
  <si>
    <t>FAMNXL2600000100</t>
  </si>
  <si>
    <t>RAKC4V2600000022</t>
  </si>
  <si>
    <t>2025-10-12 00:00:00.0</t>
  </si>
  <si>
    <t>OD435696690979673100</t>
  </si>
  <si>
    <t>435696690979673102</t>
  </si>
  <si>
    <t>2025-10-10 00:00:00</t>
  </si>
  <si>
    <t>197.0</t>
  </si>
  <si>
    <t>-27.0</t>
  </si>
  <si>
    <t>-7.2</t>
  </si>
  <si>
    <t>-19.8</t>
  </si>
  <si>
    <t>170.0</t>
  </si>
  <si>
    <t>FAMNXL2600000103</t>
  </si>
  <si>
    <t>2025-10-10 00:00:00.0</t>
  </si>
  <si>
    <t>600078</t>
  </si>
  <si>
    <t>0.17</t>
  </si>
  <si>
    <t>Balaji Venkateswaran</t>
  </si>
  <si>
    <t>OD335726320594058100</t>
  </si>
  <si>
    <t>335726320594058100</t>
  </si>
  <si>
    <t>"""The Psychology Of Money Paperback, Morgan Housel"""</t>
  </si>
  <si>
    <t>"""9783701006007"""</t>
  </si>
  <si>
    <t>"""SKU:PSYCH02"""</t>
  </si>
  <si>
    <t>2025-10-14 00:00:00</t>
  </si>
  <si>
    <t>121.0</t>
  </si>
  <si>
    <t>-6.0</t>
  </si>
  <si>
    <t>115.0</t>
  </si>
  <si>
    <t>FAMNXL2600000105</t>
  </si>
  <si>
    <t>2025-10-16 00:00:00.0</t>
  </si>
  <si>
    <t>574227</t>
  </si>
  <si>
    <t>0.115</t>
  </si>
  <si>
    <t>Akash</t>
  </si>
  <si>
    <t>OD435735804205575100</t>
  </si>
  <si>
    <t>435735804205575100</t>
  </si>
  <si>
    <t>"""Who Will Cry When you Die? Paperback, Robin Sharma"""</t>
  </si>
  <si>
    <t>"""9785092668420"""</t>
  </si>
  <si>
    <t>"""SKU:WHO-WILL-CRY"""</t>
  </si>
  <si>
    <t>2025-10-15 00:00:00</t>
  </si>
  <si>
    <t>FAMNXL2600000106</t>
  </si>
  <si>
    <t>2025-10-18 00:00:00.0</t>
  </si>
  <si>
    <t>795142</t>
  </si>
  <si>
    <t>Manipur</t>
  </si>
  <si>
    <t>0.121</t>
  </si>
  <si>
    <t>Ngayaising P</t>
  </si>
  <si>
    <t>-115.0</t>
  </si>
  <si>
    <t>RAKC4V2600000023</t>
  </si>
  <si>
    <t>2025-10-19 00:00:00.0</t>
  </si>
  <si>
    <t>-120.0</t>
  </si>
  <si>
    <t>RAKC4V2600000024</t>
  </si>
  <si>
    <t>2025-10-21 00:00:00.0</t>
  </si>
  <si>
    <t>OD435781137741494100</t>
  </si>
  <si>
    <t>435781137741494100</t>
  </si>
  <si>
    <t>2025-10-20 00:00:00</t>
  </si>
  <si>
    <t>-19.0</t>
  </si>
  <si>
    <t>-13.49</t>
  </si>
  <si>
    <t>-5.51</t>
  </si>
  <si>
    <t>180.0</t>
  </si>
  <si>
    <t>FAMNXL2600000108</t>
  </si>
  <si>
    <t>500032</t>
  </si>
  <si>
    <t>0.18</t>
  </si>
  <si>
    <t>P RAJESH KANNAN</t>
  </si>
  <si>
    <t>OD335782190943309100</t>
  </si>
  <si>
    <t>335782190943309100</t>
  </si>
  <si>
    <t>"""Energize Your Mind Paperback, Gaur Gopal das"""</t>
  </si>
  <si>
    <t>"""RBKGUDBYA6ZQZU69"""</t>
  </si>
  <si>
    <t>"""SKU:ENERGIZE-YOUR-MIND03"""</t>
  </si>
  <si>
    <t>114.0</t>
  </si>
  <si>
    <t>FAMNXL2600000107</t>
  </si>
  <si>
    <t>2025-10-20 00:00:00.0</t>
  </si>
  <si>
    <t>604410</t>
  </si>
  <si>
    <t>0.114</t>
  </si>
  <si>
    <t>N Mathivanan</t>
  </si>
  <si>
    <t>OD335892811768897100</t>
  </si>
  <si>
    <t>335892811768897100</t>
  </si>
  <si>
    <t>"""The Psychology of Money English, Paperback, Housel Morgan"""</t>
  </si>
  <si>
    <t>"""9780857199096"""</t>
  </si>
  <si>
    <t>"""SKU:PSYCH-01"""</t>
  </si>
  <si>
    <t>2025-11-02 00:00:00</t>
  </si>
  <si>
    <t>64.0</t>
  </si>
  <si>
    <t>FAMNXL2600000113</t>
  </si>
  <si>
    <t>2025-11-04 00:00:00.0</t>
  </si>
  <si>
    <t>431513</t>
  </si>
  <si>
    <t>0.064</t>
  </si>
  <si>
    <t>Sujit Suresh Vidolkar</t>
  </si>
  <si>
    <t>OD435895079013667100</t>
  </si>
  <si>
    <t>435895079013667100</t>
  </si>
  <si>
    <t>FAMNXL2600000114</t>
  </si>
  <si>
    <t>444203</t>
  </si>
  <si>
    <t>Shubham Burungale</t>
  </si>
  <si>
    <t>OD335900866334298100</t>
  </si>
  <si>
    <t>335900866334298100</t>
  </si>
  <si>
    <t>"""Energize Your Mind: Learn The Art Of Mastering Your Thoughts, Feelings And Emotion Paperback, Das Gaur Gopal"""</t>
  </si>
  <si>
    <t>"""RBKGW9X7RKHZBQMY"""</t>
  </si>
  <si>
    <t>"""SKU:ENERGIZE-YOUR-MIND01"""</t>
  </si>
  <si>
    <t>2025-11-03 00:00:00</t>
  </si>
  <si>
    <t>FAMNXL2600000115</t>
  </si>
  <si>
    <t>143001</t>
  </si>
  <si>
    <t>Nitish</t>
  </si>
  <si>
    <t>OD335885906102752100</t>
  </si>
  <si>
    <t>335885906102752100</t>
  </si>
  <si>
    <t>2025-11-01 00:00:00</t>
  </si>
  <si>
    <t>RAKC4V2600000026</t>
  </si>
  <si>
    <t>631551</t>
  </si>
  <si>
    <t>G.RAJKUMAR</t>
  </si>
  <si>
    <t>OD336086795404821100</t>
  </si>
  <si>
    <t>336086795404821100</t>
  </si>
  <si>
    <t>2025-11-25 00:00:00</t>
  </si>
  <si>
    <t>FAMNXL2600000120</t>
  </si>
  <si>
    <t>2025-11-25 00:00:00.0</t>
  </si>
  <si>
    <t>560048</t>
  </si>
  <si>
    <t>Gagan Chakma</t>
  </si>
  <si>
    <t>OD335961100628168100</t>
  </si>
  <si>
    <t>335961100628168100</t>
  </si>
  <si>
    <t>"""Energize Your Mind Paperback, Gaur Gopal Das"""</t>
  </si>
  <si>
    <t>"""RBKGWRDCMRGQU6UZ"""</t>
  </si>
  <si>
    <t>"""SKU:ENERGIZE-YOUR-MIND02"""</t>
  </si>
  <si>
    <t>2025-11-10 00:00:00</t>
  </si>
  <si>
    <t>FAMNXL2600000116</t>
  </si>
  <si>
    <t>2025-11-11 00:00:00.0</t>
  </si>
  <si>
    <t>445001</t>
  </si>
  <si>
    <t>Ritika Rathod</t>
  </si>
  <si>
    <t>OD335891059461326100</t>
  </si>
  <si>
    <t>335891059461326100</t>
  </si>
  <si>
    <t>-8.0</t>
  </si>
  <si>
    <t>FAMNXL2600000112</t>
  </si>
  <si>
    <t>2025-11-02 00:00:00.0</t>
  </si>
  <si>
    <t>396115</t>
  </si>
  <si>
    <t>Vaishali Prashant Tandel</t>
  </si>
  <si>
    <t>OD435890837919728100</t>
  </si>
  <si>
    <t>435890837919728100</t>
  </si>
  <si>
    <t>"""Elon Musk Young Readers’ Edition English, Paperback, Vance Ashlee"""</t>
  </si>
  <si>
    <t>"""9780753545102"""</t>
  </si>
  <si>
    <t>"""SKU:ELON-MUSK01"""</t>
  </si>
  <si>
    <t>304.0</t>
  </si>
  <si>
    <t>FAMNXL2600000111</t>
  </si>
  <si>
    <t>423203</t>
  </si>
  <si>
    <t>0.304</t>
  </si>
  <si>
    <t>Kavita Ankush Shinde</t>
  </si>
  <si>
    <t>-304.0</t>
  </si>
  <si>
    <t>RAKC4V2600000025</t>
  </si>
  <si>
    <t>OD435968196510150100</t>
  </si>
  <si>
    <t>435968196510150100</t>
  </si>
  <si>
    <t>"""The Magic of Thinking Big - Free Bookmark Inside Paperback, David J. Schwartz"""</t>
  </si>
  <si>
    <t>"""9787119149912"""</t>
  </si>
  <si>
    <t>"""SKU:THE-MAGIC05"""</t>
  </si>
  <si>
    <t>2025-11-11 00:00:00</t>
  </si>
  <si>
    <t>129.0</t>
  </si>
  <si>
    <t>FAMNXL2600000117</t>
  </si>
  <si>
    <t>783348</t>
  </si>
  <si>
    <t>0.129</t>
  </si>
  <si>
    <t>Subhajit Paul</t>
  </si>
  <si>
    <t>FAMNXL2600000109</t>
  </si>
  <si>
    <t>2025-11-01 00:00:00.0</t>
  </si>
  <si>
    <t>-129.0</t>
  </si>
  <si>
    <t>RAKC4V2600000028</t>
  </si>
  <si>
    <t>2025-11-14 00:00:00.0</t>
  </si>
  <si>
    <t>OD436118748717090100</t>
  </si>
  <si>
    <t>436118748717090100</t>
  </si>
  <si>
    <t>2025-11-28 00:00:00</t>
  </si>
  <si>
    <t>80.0</t>
  </si>
  <si>
    <t>-5.0</t>
  </si>
  <si>
    <t>75.0</t>
  </si>
  <si>
    <t>FAMNXL2600000121</t>
  </si>
  <si>
    <t>2025-11-28 00:00:00.0</t>
  </si>
  <si>
    <t>751012</t>
  </si>
  <si>
    <t>0.075</t>
  </si>
  <si>
    <t>Pallavi</t>
  </si>
  <si>
    <t>-64.0</t>
  </si>
  <si>
    <t>RAKC4V2600000027</t>
  </si>
  <si>
    <t>2025-11-09 00:00:00.0</t>
  </si>
  <si>
    <t>OD435887052481551100</t>
  </si>
  <si>
    <t>435887052481551100</t>
  </si>
  <si>
    <t>-23.0</t>
  </si>
  <si>
    <t>295.0</t>
  </si>
  <si>
    <t>FAMNXL2600000110</t>
  </si>
  <si>
    <t>0.295</t>
  </si>
  <si>
    <t>OD436005296634487100</t>
  </si>
  <si>
    <t>436005296634487100</t>
  </si>
  <si>
    <t>2025-11-15 00:00:00</t>
  </si>
  <si>
    <t>-45.0</t>
  </si>
  <si>
    <t>273.0</t>
  </si>
  <si>
    <t>FAMNXL2600000118</t>
  </si>
  <si>
    <t>2025-11-16 00:00:00.0</t>
  </si>
  <si>
    <t>641017</t>
  </si>
  <si>
    <t>0.273</t>
  </si>
  <si>
    <t>P.Aiam Pandian</t>
  </si>
  <si>
    <t>OD436005562065798100</t>
  </si>
  <si>
    <t>436005562065798100</t>
  </si>
  <si>
    <t>FAMNXL2600000119</t>
  </si>
  <si>
    <t>364002</t>
  </si>
  <si>
    <t>Khushi Vadher</t>
  </si>
  <si>
    <t>OD336143907938495100</t>
  </si>
  <si>
    <t>336143907938495100</t>
  </si>
  <si>
    <t>2025-12-01 00:00:00</t>
  </si>
  <si>
    <t>-75.0</t>
  </si>
  <si>
    <t>RAKC4V2600000029</t>
  </si>
  <si>
    <t>2025-12-05 00:00:00.0</t>
  </si>
  <si>
    <t>600056</t>
  </si>
  <si>
    <t>Muthamizh</t>
  </si>
  <si>
    <t>OD436180516862505100</t>
  </si>
  <si>
    <t>436180516862505121</t>
  </si>
  <si>
    <t>2025-12-05 00:00:00</t>
  </si>
  <si>
    <t>70.0</t>
  </si>
  <si>
    <t>FAMNXL2600000123</t>
  </si>
  <si>
    <t>797109</t>
  </si>
  <si>
    <t>Nagaland</t>
  </si>
  <si>
    <t>0.07</t>
  </si>
  <si>
    <t>Japheth Woch</t>
  </si>
  <si>
    <t>FAMNXL2600000122</t>
  </si>
  <si>
    <t>2025-12-02 00:00:00.0</t>
  </si>
  <si>
    <t>-70.0</t>
  </si>
  <si>
    <t>RAKC4V2600000030</t>
  </si>
  <si>
    <t>2025-12-09 00:00:00.0</t>
  </si>
  <si>
    <t>OD336207960350051100</t>
  </si>
  <si>
    <t>336207960350051100</t>
  </si>
  <si>
    <t>2025-12-09 00:00:00</t>
  </si>
  <si>
    <t>111.0</t>
  </si>
  <si>
    <t>105.0</t>
  </si>
  <si>
    <t>FAMNXL2600000126</t>
  </si>
  <si>
    <t>788005</t>
  </si>
  <si>
    <t>0.105</t>
  </si>
  <si>
    <t>DEBAJIT ROY</t>
  </si>
  <si>
    <t>OD436206824784139100</t>
  </si>
  <si>
    <t>436206824784139100</t>
  </si>
  <si>
    <t>2025-12-08 00:00:00</t>
  </si>
  <si>
    <t>82.0</t>
  </si>
  <si>
    <t>FAMNXL2600000125</t>
  </si>
  <si>
    <t>2025-12-08 00:00:00.0</t>
  </si>
  <si>
    <t>678003</t>
  </si>
  <si>
    <t>Mouli</t>
  </si>
  <si>
    <t>OD436332847546308100</t>
  </si>
  <si>
    <t>436332847546308102</t>
  </si>
  <si>
    <t>2025-12-23 00:00:00</t>
  </si>
  <si>
    <t>FAMNXL2600000127</t>
  </si>
  <si>
    <t>2025-12-24 00:00:00.0</t>
  </si>
  <si>
    <t>632001</t>
  </si>
  <si>
    <t>Oviya</t>
  </si>
  <si>
    <t>OD336196916053727100</t>
  </si>
  <si>
    <t>336196916053727100</t>
  </si>
  <si>
    <t>2025-12-07 00:00:00</t>
  </si>
  <si>
    <t>FAMNXL2600000124</t>
  </si>
  <si>
    <t>2025-12-07 00:00:00.0</t>
  </si>
  <si>
    <t>741506</t>
  </si>
  <si>
    <t>Malabika Biswas</t>
  </si>
  <si>
    <t>OD336366423066248100</t>
  </si>
  <si>
    <t>336366423066248100</t>
  </si>
  <si>
    <t>2025-12-27 00:00:00</t>
  </si>
  <si>
    <t>FAMNXL2600000129</t>
  </si>
  <si>
    <t>2025-12-27 00:00:00.0</t>
  </si>
  <si>
    <t>560058</t>
  </si>
  <si>
    <t>Mohan Raj</t>
  </si>
  <si>
    <t>MONTH</t>
  </si>
  <si>
    <t>City</t>
  </si>
  <si>
    <t>570009 – Belagavi</t>
  </si>
  <si>
    <t>770032 – Bhubaneswar</t>
  </si>
  <si>
    <t>263645 – Dehradun</t>
  </si>
  <si>
    <t>410210 – Pune</t>
  </si>
  <si>
    <t>600016 – Chennai</t>
  </si>
  <si>
    <t>413705 – Solapur</t>
  </si>
  <si>
    <t>783384 – Guwahati</t>
  </si>
  <si>
    <t>160017 – Chandigarh</t>
  </si>
  <si>
    <t>831005 – Ranchi</t>
  </si>
  <si>
    <t>788831 – Silchar</t>
  </si>
  <si>
    <t>441601 – Nagpur</t>
  </si>
  <si>
    <t>190012 – Jammu</t>
  </si>
  <si>
    <t>700038 – Kolkata</t>
  </si>
  <si>
    <t>581421 – Dharwad</t>
  </si>
  <si>
    <t>413104 – Solapur</t>
  </si>
  <si>
    <t>275301 – Agra</t>
  </si>
  <si>
    <t>416001 – Ratnagiri</t>
  </si>
  <si>
    <t>360006 – Rajkot</t>
  </si>
  <si>
    <t>781006 – Guwahati</t>
  </si>
  <si>
    <t>282007 – Mathura</t>
  </si>
  <si>
    <t>391760 – Vadodara</t>
  </si>
  <si>
    <t>688524 – Kochi</t>
  </si>
  <si>
    <t>785685 – Dibrugarh</t>
  </si>
  <si>
    <t>244713 – Moradabad</t>
  </si>
  <si>
    <t>522006 – Vijayawada</t>
  </si>
  <si>
    <t>360575 – Rajkot</t>
  </si>
  <si>
    <t>638101 – Coimbatore</t>
  </si>
  <si>
    <t>560097 – Bengaluru</t>
  </si>
  <si>
    <t>570018 – Belagavi</t>
  </si>
  <si>
    <t>505001 – Nizamabad</t>
  </si>
  <si>
    <t>560085 – Bengaluru</t>
  </si>
  <si>
    <t>201012 – Meerut</t>
  </si>
  <si>
    <t>227305 – Azamgarh</t>
  </si>
  <si>
    <t>625002 – Madurai</t>
  </si>
  <si>
    <t>751029 – Bhubaneswar</t>
  </si>
  <si>
    <t>735229 – Siliguri</t>
  </si>
  <si>
    <t>231001 – Gorakhpur</t>
  </si>
  <si>
    <t>794106 – Shillong</t>
  </si>
  <si>
    <t>480337 – Bhopal</t>
  </si>
  <si>
    <t>400053 – Mumbai</t>
  </si>
  <si>
    <t>411037 – Pune</t>
  </si>
  <si>
    <t>500072 – Hyderabad</t>
  </si>
  <si>
    <t>143604 – Jalandhar</t>
  </si>
  <si>
    <t>360005 – Rajkot</t>
  </si>
  <si>
    <t>507001 – Khammam</t>
  </si>
  <si>
    <t>791110 – Tura</t>
  </si>
  <si>
    <t>306401 – Udaipur</t>
  </si>
  <si>
    <t>140306 – Ludhiana</t>
  </si>
  <si>
    <t>501510 – Hyderabad</t>
  </si>
  <si>
    <t>823001 – Bhagalpur</t>
  </si>
  <si>
    <t>160003 – Chandigarh</t>
  </si>
  <si>
    <t>400093 – Mumbai</t>
  </si>
  <si>
    <t>110016 – New Delhi</t>
  </si>
  <si>
    <t>422101 – Nashik</t>
  </si>
  <si>
    <t>711226 – Howrah</t>
  </si>
  <si>
    <t>442202 – Nagpur</t>
  </si>
  <si>
    <t>533407 – Vijayawada</t>
  </si>
  <si>
    <t>400099 – Mumbai</t>
  </si>
  <si>
    <t>423110 – Jalgaon</t>
  </si>
  <si>
    <t>221409 – Varanasi</t>
  </si>
  <si>
    <t>110034 – New Delhi</t>
  </si>
  <si>
    <t>504208 – Adilabad</t>
  </si>
  <si>
    <t>136119 – Ambala</t>
  </si>
  <si>
    <t>673525 – Kozhikode</t>
  </si>
  <si>
    <t>416414 – Ratnagiri</t>
  </si>
  <si>
    <t>522601 – Vijayawada</t>
  </si>
  <si>
    <t>786153 – Dibrugarh</t>
  </si>
  <si>
    <t>521001 – Vijayawada</t>
  </si>
  <si>
    <t>382421 – Ahmedabad</t>
  </si>
  <si>
    <t>321407 – Chittorgarh</t>
  </si>
  <si>
    <t>700093 – Kolkata</t>
  </si>
  <si>
    <t>560086 – Bengaluru</t>
  </si>
  <si>
    <t>110030 – New Delhi</t>
  </si>
  <si>
    <t>422003 – Nashik</t>
  </si>
  <si>
    <t>495119 – Bilaspur</t>
  </si>
  <si>
    <t>249203 – Pauri Garhwal</t>
  </si>
  <si>
    <t>800002 – Patna</t>
  </si>
  <si>
    <t>602025 – Puducherry</t>
  </si>
  <si>
    <t>176031 – Shimla</t>
  </si>
  <si>
    <t>712258 – Bardhaman</t>
  </si>
  <si>
    <t>580008 – Hubli</t>
  </si>
  <si>
    <t>462022 – Bhopal</t>
  </si>
  <si>
    <t>208025 – Agra</t>
  </si>
  <si>
    <t>560057 – Bengaluru</t>
  </si>
  <si>
    <t>324004 – Jodhpur</t>
  </si>
  <si>
    <t>722136 – Howrah</t>
  </si>
  <si>
    <t>412101 – Pune</t>
  </si>
  <si>
    <t>122004 – Ambala</t>
  </si>
  <si>
    <t>804403 – Hazaribagh</t>
  </si>
  <si>
    <t>201009 – Meerut</t>
  </si>
  <si>
    <t>440017 – Akola</t>
  </si>
  <si>
    <t>602026 – Puducherry</t>
  </si>
  <si>
    <t>110045 – New Delhi</t>
  </si>
  <si>
    <t>600078 – Chennai</t>
  </si>
  <si>
    <t>574227 – Mangaluru</t>
  </si>
  <si>
    <t>795142 – Shillong</t>
  </si>
  <si>
    <t>500032 – Hyderabad</t>
  </si>
  <si>
    <t>604410 – Vellore</t>
  </si>
  <si>
    <t>431513 – Kolhapur</t>
  </si>
  <si>
    <t>444203 – Akola</t>
  </si>
  <si>
    <t>143001 – Jalandhar</t>
  </si>
  <si>
    <t>631551 – Tiruchirappalli</t>
  </si>
  <si>
    <t>560048 – Bengaluru</t>
  </si>
  <si>
    <t>396115 – Valsad</t>
  </si>
  <si>
    <t>641017 – Coimbatore</t>
  </si>
  <si>
    <t>364002 – Jamnagar</t>
  </si>
  <si>
    <t>797109 – Aizawl</t>
  </si>
  <si>
    <t>788005 – Cachar</t>
  </si>
  <si>
    <t>678003 – Wayanad</t>
  </si>
  <si>
    <t>632001 – Salem</t>
  </si>
  <si>
    <t>741506 – Bardhaman</t>
  </si>
  <si>
    <t>560058 - Bengaluru</t>
  </si>
  <si>
    <t>600056 - Chennai</t>
  </si>
  <si>
    <t>797109 - Aizawl</t>
  </si>
  <si>
    <t>794106 - Shillong</t>
  </si>
  <si>
    <t>400053 - Mumbai</t>
  </si>
  <si>
    <t>582101 - Gadag</t>
  </si>
  <si>
    <t>412106 - Pune</t>
  </si>
  <si>
    <t>711226 - Howrah</t>
  </si>
  <si>
    <t>423203 - Jalgaon</t>
  </si>
  <si>
    <t>783348 - Guwahati</t>
  </si>
  <si>
    <t>631551 - Tiruvannamalai</t>
  </si>
  <si>
    <t>751012 - Bhubaneswar</t>
  </si>
  <si>
    <t>444203 - Akola</t>
  </si>
  <si>
    <t>416414 - Kolhapur</t>
  </si>
  <si>
    <t>423110 - Jalgaon</t>
  </si>
  <si>
    <t>321407 - Chittorgarh</t>
  </si>
  <si>
    <t>800002 - Patna</t>
  </si>
  <si>
    <t>722136 - Howrah</t>
  </si>
  <si>
    <t>560057 - Bengaluru</t>
  </si>
  <si>
    <t>400099 - Mumbai</t>
  </si>
  <si>
    <t>600097 - Chennai</t>
  </si>
  <si>
    <t>574227 - Mangaluru</t>
  </si>
  <si>
    <t>122004 - Ambala</t>
  </si>
  <si>
    <t>445001 - Yavatmal</t>
  </si>
  <si>
    <t>803110 - Bihar Sharif</t>
  </si>
  <si>
    <t>110096 - New Delhi</t>
  </si>
  <si>
    <t>176031 - Shimla</t>
  </si>
  <si>
    <t>560045 - Bengaluru</t>
  </si>
  <si>
    <t>413531	- Solapur</t>
  </si>
  <si>
    <t>Column1</t>
  </si>
  <si>
    <t>Column2</t>
  </si>
  <si>
    <t>Row Labels</t>
  </si>
  <si>
    <t>Count of Buyer Invoice ID</t>
  </si>
  <si>
    <t>Grand Total</t>
  </si>
  <si>
    <t>June</t>
  </si>
  <si>
    <t>July</t>
  </si>
  <si>
    <t>August</t>
  </si>
  <si>
    <t>September</t>
  </si>
  <si>
    <t>October</t>
  </si>
  <si>
    <t>November</t>
  </si>
  <si>
    <t>December</t>
  </si>
  <si>
    <t>Analysis</t>
  </si>
  <si>
    <t>The ratio of Returns and Sales are approximately same</t>
  </si>
  <si>
    <t>Its an Industry Standard</t>
  </si>
  <si>
    <t>so there is no issue regarding product quality</t>
  </si>
  <si>
    <t>5AM-01</t>
  </si>
  <si>
    <t>7HABITS07</t>
  </si>
  <si>
    <t>ALCHEMIST01</t>
  </si>
  <si>
    <t>A-T-I</t>
  </si>
  <si>
    <t>ATOMIC-HABIT-HINDI</t>
  </si>
  <si>
    <t>CANT</t>
  </si>
  <si>
    <t>CANT02</t>
  </si>
  <si>
    <t>CANT-ME</t>
  </si>
  <si>
    <t>CANT-RICH-PSYCH-ART</t>
  </si>
  <si>
    <t>DO-EPIC-FROG</t>
  </si>
  <si>
    <t>DO-EPIC-SHIT01</t>
  </si>
  <si>
    <t>DO-EPIC-SHIT03</t>
  </si>
  <si>
    <t>DOGLAPAN02</t>
  </si>
  <si>
    <t>DOGLAPAN03</t>
  </si>
  <si>
    <t>DOMORE-4</t>
  </si>
  <si>
    <t>ELON-MUSK01</t>
  </si>
  <si>
    <t>ENERGIZE-YOUR-MIND</t>
  </si>
  <si>
    <t>ENERGIZE-YOUR-MIND01</t>
  </si>
  <si>
    <t>ENERGIZE-YOUR-MIND02</t>
  </si>
  <si>
    <t>ENERGIZE-YOUR-MIND03</t>
  </si>
  <si>
    <t>GOTOGRE_02</t>
  </si>
  <si>
    <t>KARMA-2</t>
  </si>
  <si>
    <t>LIFE02</t>
  </si>
  <si>
    <t>MIRACLE-COURAGE-ATOMIC-DEEP</t>
  </si>
  <si>
    <t>MIRACLE-MORNING01</t>
  </si>
  <si>
    <t>ONEUP</t>
  </si>
  <si>
    <t>PSYCH01</t>
  </si>
  <si>
    <t>PSYCH-01</t>
  </si>
  <si>
    <t>PSYCH02</t>
  </si>
  <si>
    <t>PSYCH05</t>
  </si>
  <si>
    <t>PSYCH-5AM</t>
  </si>
  <si>
    <t>RICH-DAD-HINDI02</t>
  </si>
  <si>
    <t>RICH-DAD-HINDI03</t>
  </si>
  <si>
    <t>STOPOVERTHINKING-1</t>
  </si>
  <si>
    <t>T-F-A-S</t>
  </si>
  <si>
    <t>T-F-A-S01</t>
  </si>
  <si>
    <t>THANGRORICH</t>
  </si>
  <si>
    <t>THE7HABITS12</t>
  </si>
  <si>
    <t>THE-COURAGE01</t>
  </si>
  <si>
    <t>The-Intelligent-Investor</t>
  </si>
  <si>
    <t>THE-MAGIC01</t>
  </si>
  <si>
    <t>THE-MAGIC04</t>
  </si>
  <si>
    <t>THE-MAGIC05</t>
  </si>
  <si>
    <t>THE-MAGIC-IKIGAI</t>
  </si>
  <si>
    <t>THEMAGICTHINKBIG-1</t>
  </si>
  <si>
    <t>THEWARRENBUFFET-1</t>
  </si>
  <si>
    <t>T-M</t>
  </si>
  <si>
    <t>WHO-MINDSET</t>
  </si>
  <si>
    <t>WHO-MONK-LIFE01</t>
  </si>
  <si>
    <t>WHO-WILL-CRY</t>
  </si>
  <si>
    <t>WHO-WILL-CRY01</t>
  </si>
  <si>
    <t>WHO-WILL-CRY03</t>
  </si>
  <si>
    <t>Top 5 SKUs Sold</t>
  </si>
  <si>
    <t>(All)</t>
  </si>
  <si>
    <t>Top 5 SKUs sold in Maharastra (highest revenue state)</t>
  </si>
  <si>
    <t>Sold Units</t>
  </si>
  <si>
    <t>See if you can provide your product on fulfillment centers of top cities of maharastra for fast delivery</t>
  </si>
  <si>
    <t>These top 5 SKUs listings are working great needs to double down on these</t>
  </si>
  <si>
    <t>States where lowest SKUs Sold</t>
  </si>
  <si>
    <t>Top 5 States where Highest SKUs Sold</t>
  </si>
  <si>
    <t>Top 3 SKUs return States</t>
  </si>
  <si>
    <t>Product Sourcing Cost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</si>
</sst>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theme="1"/>
      <name val="Calibri"/>
      <family val="2"/>
      <scheme val="minor"/>
    </font>
    <font>
      <b/>
      <sz val="10"/>
      <color rgb="FF000000"/>
      <name val="Arial"/>
      <family val="2"/>
    </font>
    <font>
      <sz val="10"/>
      <color rgb="FF000000"/>
      <name val="Calibri"/>
      <family val="2"/>
      <scheme val="minor"/>
    </font>
    <font>
      <sz val="10"/>
      <color theme="1"/>
      <name val="Arial Unicode MS"/>
    </font>
  </fonts>
  <fills count="4">
    <fill>
      <patternFill patternType="none"/>
    </fill>
    <fill>
      <patternFill patternType="gray125"/>
    </fill>
    <fill>
      <patternFill patternType="solid">
        <fgColor rgb="FFB6D6E9"/>
        <bgColor rgb="FFB6D6E9"/>
      </patternFill>
    </fill>
    <fill>
      <patternFill patternType="solid">
        <fgColor theme="0" tint="-0.249977111117893"/>
        <bgColor indexed="64"/>
      </patternFill>
    </fill>
  </fills>
  <borders count="15">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right/>
      <top style="medium">
        <color indexed="64"/>
      </top>
      <bottom/>
      <diagonal/>
    </border>
    <border>
      <left/>
      <right/>
      <top/>
      <bottom style="medium">
        <color indexed="64"/>
      </bottom>
      <diagonal/>
    </border>
  </borders>
  <cellStyleXfs count="2">
    <xf numFmtId="0" fontId="0" fillId="0" borderId="0"/>
    <xf numFmtId="0" fontId="3" fillId="0" borderId="0"/>
  </cellStyleXfs>
  <cellXfs count="50">
    <xf numFmtId="0" fontId="0" fillId="0" borderId="0" xfId="0"/>
    <xf numFmtId="0" fontId="1" fillId="0" borderId="0" xfId="0" applyFont="1"/>
    <xf numFmtId="0" fontId="3" fillId="0" borderId="0" xfId="1"/>
    <xf numFmtId="0" fontId="2" fillId="2" borderId="0" xfId="0" applyFont="1" applyFill="1" applyAlignment="1"/>
    <xf numFmtId="0" fontId="3" fillId="0" borderId="0" xfId="1"/>
    <xf numFmtId="0" fontId="3" fillId="0" borderId="0" xfId="1"/>
    <xf numFmtId="0" fontId="3" fillId="0" borderId="0" xfId="1"/>
    <xf numFmtId="0" fontId="3" fillId="0" borderId="0" xfId="1"/>
    <xf numFmtId="0" fontId="2" fillId="2" borderId="0" xfId="0" applyFont="1" applyFill="1" applyAlignment="1">
      <alignment horizontal="center"/>
    </xf>
    <xf numFmtId="0" fontId="0" fillId="0" borderId="0" xfId="0" applyAlignment="1"/>
    <xf numFmtId="0" fontId="0" fillId="0" borderId="0" xfId="0" applyBorder="1"/>
    <xf numFmtId="0" fontId="4" fillId="0" borderId="0" xfId="0" applyFont="1" applyAlignment="1">
      <alignment vertical="center"/>
    </xf>
    <xf numFmtId="0" fontId="3" fillId="0" borderId="0" xfId="1" applyFill="1"/>
    <xf numFmtId="0" fontId="0" fillId="0" borderId="0" xfId="0" applyFill="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0" fontId="1" fillId="3" borderId="0" xfId="0" applyFont="1" applyFill="1"/>
    <xf numFmtId="0" fontId="0" fillId="0" borderId="3" xfId="0" applyBorder="1" applyAlignment="1">
      <alignment horizontal="left"/>
    </xf>
    <xf numFmtId="0" fontId="0" fillId="0" borderId="4" xfId="0" applyNumberFormat="1" applyBorder="1"/>
    <xf numFmtId="0" fontId="0" fillId="0" borderId="5" xfId="0" applyBorder="1" applyAlignment="1">
      <alignment horizontal="left"/>
    </xf>
    <xf numFmtId="0" fontId="0" fillId="0" borderId="6" xfId="0" applyNumberFormat="1" applyBorder="1"/>
    <xf numFmtId="0" fontId="1" fillId="0" borderId="0" xfId="0" applyFont="1" applyFill="1"/>
    <xf numFmtId="0" fontId="1" fillId="0" borderId="9" xfId="0" applyFont="1" applyBorder="1" applyAlignment="1">
      <alignment horizontal="center"/>
    </xf>
    <xf numFmtId="0" fontId="1" fillId="0" borderId="10" xfId="0" applyFont="1" applyBorder="1" applyAlignment="1">
      <alignment horizontal="center"/>
    </xf>
    <xf numFmtId="0" fontId="0" fillId="0" borderId="0" xfId="0" applyBorder="1" applyAlignment="1">
      <alignment horizontal="left"/>
    </xf>
    <xf numFmtId="0" fontId="0" fillId="0" borderId="0" xfId="0" applyNumberFormat="1" applyBorder="1"/>
    <xf numFmtId="0" fontId="0" fillId="0" borderId="1" xfId="0" applyBorder="1" applyAlignment="1">
      <alignment horizontal="left"/>
    </xf>
    <xf numFmtId="0" fontId="0" fillId="0" borderId="2" xfId="0" applyNumberFormat="1" applyBorder="1"/>
    <xf numFmtId="0" fontId="1" fillId="0" borderId="11" xfId="0" applyFont="1" applyBorder="1" applyAlignment="1">
      <alignment horizontal="center"/>
    </xf>
    <xf numFmtId="0" fontId="1" fillId="0" borderId="12" xfId="0" applyFont="1" applyBorder="1" applyAlignment="1">
      <alignment horizontal="center"/>
    </xf>
    <xf numFmtId="0" fontId="1" fillId="0" borderId="1" xfId="0" applyFont="1" applyBorder="1" applyAlignment="1">
      <alignment horizontal="center"/>
    </xf>
    <xf numFmtId="0" fontId="1" fillId="0" borderId="2" xfId="0" applyFont="1" applyBorder="1" applyAlignment="1">
      <alignment horizontal="center"/>
    </xf>
    <xf numFmtId="0" fontId="1" fillId="0" borderId="7" xfId="0" applyFont="1" applyFill="1" applyBorder="1" applyAlignment="1">
      <alignment horizontal="center" wrapText="1"/>
    </xf>
    <xf numFmtId="0" fontId="1" fillId="0" borderId="8" xfId="0" applyFont="1" applyFill="1" applyBorder="1" applyAlignment="1">
      <alignment horizontal="center" wrapText="1"/>
    </xf>
    <xf numFmtId="0" fontId="0" fillId="0" borderId="0" xfId="0" applyBorder="1" applyAlignment="1"/>
    <xf numFmtId="0" fontId="0" fillId="0" borderId="0" xfId="0" applyFill="1" applyBorder="1" applyAlignment="1"/>
    <xf numFmtId="0" fontId="1" fillId="3" borderId="1" xfId="0" applyFont="1" applyFill="1" applyBorder="1"/>
    <xf numFmtId="0" fontId="1" fillId="3" borderId="13" xfId="0" applyFont="1" applyFill="1" applyBorder="1"/>
    <xf numFmtId="0" fontId="1" fillId="3" borderId="2" xfId="0" applyFont="1" applyFill="1" applyBorder="1"/>
    <xf numFmtId="0" fontId="0" fillId="0" borderId="3" xfId="0" applyBorder="1" applyAlignment="1"/>
    <xf numFmtId="0" fontId="0" fillId="0" borderId="4" xfId="0" applyBorder="1" applyAlignment="1"/>
    <xf numFmtId="0" fontId="0" fillId="0" borderId="3" xfId="0" applyFill="1" applyBorder="1" applyAlignment="1"/>
    <xf numFmtId="0" fontId="0" fillId="0" borderId="4" xfId="0" applyFill="1" applyBorder="1" applyAlignment="1"/>
    <xf numFmtId="0" fontId="0" fillId="0" borderId="5" xfId="0" applyFill="1" applyBorder="1" applyAlignment="1"/>
    <xf numFmtId="0" fontId="0" fillId="0" borderId="14" xfId="0" applyFill="1" applyBorder="1" applyAlignment="1"/>
    <xf numFmtId="0" fontId="0" fillId="0" borderId="6" xfId="0" applyFill="1" applyBorder="1" applyAlignment="1"/>
    <xf numFmtId="0" fontId="0" fillId="0" borderId="7" xfId="0" applyBorder="1" applyAlignment="1">
      <alignment horizontal="center"/>
    </xf>
    <xf numFmtId="0" fontId="0" fillId="0" borderId="8" xfId="0" applyBorder="1" applyAlignment="1">
      <alignment horizontal="center"/>
    </xf>
  </cellXfs>
  <cellStyles count="2">
    <cellStyle name="Normal" xfId="0" builtinId="0"/>
    <cellStyle name="Normal 2" xfId="1" xr:uid="{00000000-0005-0000-0000-00002F000000}"/>
  </cellStyles>
  <dxfs count="2">
    <dxf>
      <fill>
        <patternFill patternType="none">
          <fgColor indexed="64"/>
          <bgColor indexed="65"/>
        </patternFill>
      </fill>
    </dxf>
    <dxf>
      <font>
        <b/>
        <i val="0"/>
        <strike val="0"/>
        <condense val="0"/>
        <extend val="0"/>
        <outline val="0"/>
        <shadow val="0"/>
        <u val="none"/>
        <vertAlign val="baseline"/>
        <sz val="10"/>
        <color rgb="FF000000"/>
        <name val="Arial"/>
        <family val="2"/>
        <scheme val="none"/>
      </font>
      <fill>
        <patternFill patternType="solid">
          <fgColor rgb="FFB6D6E9"/>
          <bgColor rgb="FFB6D6E9"/>
        </patternFill>
      </fill>
      <alignment horizontal="general"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 data 2025 Project.xlsx]Returns-v-Sales!PivotTable4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t>Sales every</a:t>
            </a:r>
            <a:r>
              <a:rPr lang="en-US" sz="1600" baseline="0"/>
              <a:t>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'Returns-v-Sales'!$B$20</c:f>
              <c:strCache>
                <c:ptCount val="1"/>
                <c:pt idx="0">
                  <c:v>Total</c:v>
                </c:pt>
              </c:strCache>
            </c:strRef>
          </c:tx>
          <c:spPr>
            <a:ln w="28575" cap="rnd">
              <a:solidFill>
                <a:schemeClr val="accent1"/>
              </a:solidFill>
              <a:round/>
            </a:ln>
            <a:effectLst/>
          </c:spPr>
          <c:marker>
            <c:symbol val="none"/>
          </c:marker>
          <c:cat>
            <c:multiLvlStrRef>
              <c:f>'Returns-v-Sales'!$A$21:$A$29</c:f>
              <c:multiLvlStrCache>
                <c:ptCount val="7"/>
                <c:lvl>
                  <c:pt idx="0">
                    <c:v>June</c:v>
                  </c:pt>
                  <c:pt idx="1">
                    <c:v>July</c:v>
                  </c:pt>
                  <c:pt idx="2">
                    <c:v>August</c:v>
                  </c:pt>
                  <c:pt idx="3">
                    <c:v>September</c:v>
                  </c:pt>
                  <c:pt idx="4">
                    <c:v>October</c:v>
                  </c:pt>
                  <c:pt idx="5">
                    <c:v>November</c:v>
                  </c:pt>
                  <c:pt idx="6">
                    <c:v>December</c:v>
                  </c:pt>
                </c:lvl>
                <c:lvl>
                  <c:pt idx="0">
                    <c:v>Sale</c:v>
                  </c:pt>
                </c:lvl>
              </c:multiLvlStrCache>
            </c:multiLvlStrRef>
          </c:cat>
          <c:val>
            <c:numRef>
              <c:f>'Returns-v-Sales'!$B$21:$B$29</c:f>
              <c:numCache>
                <c:formatCode>General</c:formatCode>
                <c:ptCount val="7"/>
                <c:pt idx="0">
                  <c:v>6</c:v>
                </c:pt>
                <c:pt idx="1">
                  <c:v>53</c:v>
                </c:pt>
                <c:pt idx="2">
                  <c:v>19</c:v>
                </c:pt>
                <c:pt idx="3">
                  <c:v>12</c:v>
                </c:pt>
                <c:pt idx="4">
                  <c:v>18</c:v>
                </c:pt>
                <c:pt idx="5">
                  <c:v>13</c:v>
                </c:pt>
                <c:pt idx="6">
                  <c:v>7</c:v>
                </c:pt>
              </c:numCache>
            </c:numRef>
          </c:val>
          <c:smooth val="0"/>
          <c:extLst>
            <c:ext xmlns:c16="http://schemas.microsoft.com/office/drawing/2014/chart" uri="{C3380CC4-5D6E-409C-BE32-E72D297353CC}">
              <c16:uniqueId val="{00000000-6F87-4361-BF9C-3CF126A17684}"/>
            </c:ext>
          </c:extLst>
        </c:ser>
        <c:dLbls>
          <c:showLegendKey val="0"/>
          <c:showVal val="0"/>
          <c:showCatName val="0"/>
          <c:showSerName val="0"/>
          <c:showPercent val="0"/>
          <c:showBubbleSize val="0"/>
        </c:dLbls>
        <c:smooth val="0"/>
        <c:axId val="822513584"/>
        <c:axId val="831430816"/>
      </c:lineChart>
      <c:catAx>
        <c:axId val="822513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1430816"/>
        <c:crosses val="autoZero"/>
        <c:auto val="1"/>
        <c:lblAlgn val="ctr"/>
        <c:lblOffset val="100"/>
        <c:noMultiLvlLbl val="0"/>
      </c:catAx>
      <c:valAx>
        <c:axId val="8314308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25135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 data 2025 Project.xlsx]Returns-v-Sales!PivotTable3</c:name>
    <c:fmtId val="2"/>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IN" sz="1600"/>
              <a:t>Returns every</a:t>
            </a:r>
            <a:r>
              <a:rPr lang="en-IN" sz="1600" baseline="0"/>
              <a:t> Month</a:t>
            </a:r>
            <a:endParaRPr lang="en-IN" sz="1600"/>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'Returns-v-Sales'!$B$3</c:f>
              <c:strCache>
                <c:ptCount val="1"/>
                <c:pt idx="0">
                  <c:v>Total</c:v>
                </c:pt>
              </c:strCache>
            </c:strRef>
          </c:tx>
          <c:spPr>
            <a:ln w="28575" cap="rnd">
              <a:solidFill>
                <a:schemeClr val="accent1"/>
              </a:solidFill>
              <a:round/>
            </a:ln>
            <a:effectLst/>
          </c:spPr>
          <c:marker>
            <c:symbol val="none"/>
          </c:marker>
          <c:cat>
            <c:multiLvlStrRef>
              <c:f>'Returns-v-Sales'!$A$4:$A$10</c:f>
              <c:multiLvlStrCache>
                <c:ptCount val="5"/>
                <c:lvl>
                  <c:pt idx="0">
                    <c:v>July</c:v>
                  </c:pt>
                  <c:pt idx="1">
                    <c:v>August</c:v>
                  </c:pt>
                  <c:pt idx="2">
                    <c:v>September</c:v>
                  </c:pt>
                  <c:pt idx="3">
                    <c:v>October</c:v>
                  </c:pt>
                  <c:pt idx="4">
                    <c:v>November</c:v>
                  </c:pt>
                </c:lvl>
                <c:lvl>
                  <c:pt idx="0">
                    <c:v>Return</c:v>
                  </c:pt>
                </c:lvl>
              </c:multiLvlStrCache>
            </c:multiLvlStrRef>
          </c:cat>
          <c:val>
            <c:numRef>
              <c:f>'Returns-v-Sales'!$B$4:$B$10</c:f>
              <c:numCache>
                <c:formatCode>General</c:formatCode>
                <c:ptCount val="5"/>
                <c:pt idx="0">
                  <c:v>9</c:v>
                </c:pt>
                <c:pt idx="1">
                  <c:v>6</c:v>
                </c:pt>
                <c:pt idx="2">
                  <c:v>2</c:v>
                </c:pt>
                <c:pt idx="3">
                  <c:v>4</c:v>
                </c:pt>
                <c:pt idx="4">
                  <c:v>2</c:v>
                </c:pt>
              </c:numCache>
            </c:numRef>
          </c:val>
          <c:smooth val="0"/>
          <c:extLst>
            <c:ext xmlns:c16="http://schemas.microsoft.com/office/drawing/2014/chart" uri="{C3380CC4-5D6E-409C-BE32-E72D297353CC}">
              <c16:uniqueId val="{00000000-BAC8-41B7-80DE-8596850492D5}"/>
            </c:ext>
          </c:extLst>
        </c:ser>
        <c:dLbls>
          <c:showLegendKey val="0"/>
          <c:showVal val="0"/>
          <c:showCatName val="0"/>
          <c:showSerName val="0"/>
          <c:showPercent val="0"/>
          <c:showBubbleSize val="0"/>
        </c:dLbls>
        <c:smooth val="0"/>
        <c:axId val="615368367"/>
        <c:axId val="1121958703"/>
      </c:lineChart>
      <c:catAx>
        <c:axId val="615368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1958703"/>
        <c:crosses val="autoZero"/>
        <c:auto val="1"/>
        <c:lblAlgn val="ctr"/>
        <c:lblOffset val="100"/>
        <c:noMultiLvlLbl val="0"/>
      </c:catAx>
      <c:valAx>
        <c:axId val="11219587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53683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 data 2025 Project.xlsx]Top_Sold_SKUs!PivotTable6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SKUs Sales</a:t>
            </a:r>
          </a:p>
        </c:rich>
      </c:tx>
      <c:layout>
        <c:manualLayout>
          <c:xMode val="edge"/>
          <c:yMode val="edge"/>
          <c:x val="0.45257594225223274"/>
          <c:y val="0.16144585187721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Top_Sold_SKUs!$B$3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Top_Sold_SKUs!$A$4:$A$56</c:f>
              <c:strCache>
                <c:ptCount val="52"/>
                <c:pt idx="0">
                  <c:v>5AM-01</c:v>
                </c:pt>
                <c:pt idx="1">
                  <c:v>7HABITS07</c:v>
                </c:pt>
                <c:pt idx="2">
                  <c:v>ALCHEMIST01</c:v>
                </c:pt>
                <c:pt idx="3">
                  <c:v>A-T-I</c:v>
                </c:pt>
                <c:pt idx="4">
                  <c:v>ATOMIC-HABIT-HINDI</c:v>
                </c:pt>
                <c:pt idx="5">
                  <c:v>CANT</c:v>
                </c:pt>
                <c:pt idx="6">
                  <c:v>CANT02</c:v>
                </c:pt>
                <c:pt idx="7">
                  <c:v>CANT-ME</c:v>
                </c:pt>
                <c:pt idx="8">
                  <c:v>CANT-RICH-PSYCH-ART</c:v>
                </c:pt>
                <c:pt idx="9">
                  <c:v>DO-EPIC-FROG</c:v>
                </c:pt>
                <c:pt idx="10">
                  <c:v>DO-EPIC-SHIT01</c:v>
                </c:pt>
                <c:pt idx="11">
                  <c:v>DO-EPIC-SHIT03</c:v>
                </c:pt>
                <c:pt idx="12">
                  <c:v>DOGLAPAN02</c:v>
                </c:pt>
                <c:pt idx="13">
                  <c:v>DOGLAPAN03</c:v>
                </c:pt>
                <c:pt idx="14">
                  <c:v>DOMORE-4</c:v>
                </c:pt>
                <c:pt idx="15">
                  <c:v>ELON-MUSK01</c:v>
                </c:pt>
                <c:pt idx="16">
                  <c:v>ENERGIZE-YOUR-MIND</c:v>
                </c:pt>
                <c:pt idx="17">
                  <c:v>ENERGIZE-YOUR-MIND01</c:v>
                </c:pt>
                <c:pt idx="18">
                  <c:v>ENERGIZE-YOUR-MIND02</c:v>
                </c:pt>
                <c:pt idx="19">
                  <c:v>ENERGIZE-YOUR-MIND03</c:v>
                </c:pt>
                <c:pt idx="20">
                  <c:v>GOTOGRE_02</c:v>
                </c:pt>
                <c:pt idx="21">
                  <c:v>KARMA-2</c:v>
                </c:pt>
                <c:pt idx="22">
                  <c:v>LIFE02</c:v>
                </c:pt>
                <c:pt idx="23">
                  <c:v>MIRACLE-COURAGE-ATOMIC-DEEP</c:v>
                </c:pt>
                <c:pt idx="24">
                  <c:v>MIRACLE-MORNING01</c:v>
                </c:pt>
                <c:pt idx="25">
                  <c:v>ONEUP</c:v>
                </c:pt>
                <c:pt idx="26">
                  <c:v>PSYCH01</c:v>
                </c:pt>
                <c:pt idx="27">
                  <c:v>PSYCH-01</c:v>
                </c:pt>
                <c:pt idx="28">
                  <c:v>PSYCH02</c:v>
                </c:pt>
                <c:pt idx="29">
                  <c:v>PSYCH05</c:v>
                </c:pt>
                <c:pt idx="30">
                  <c:v>PSYCH-5AM</c:v>
                </c:pt>
                <c:pt idx="31">
                  <c:v>RICH-DAD-HINDI02</c:v>
                </c:pt>
                <c:pt idx="32">
                  <c:v>RICH-DAD-HINDI03</c:v>
                </c:pt>
                <c:pt idx="33">
                  <c:v>STOPOVERTHINKING-1</c:v>
                </c:pt>
                <c:pt idx="34">
                  <c:v>T-F-A-S</c:v>
                </c:pt>
                <c:pt idx="35">
                  <c:v>T-F-A-S01</c:v>
                </c:pt>
                <c:pt idx="36">
                  <c:v>THANGRORICH</c:v>
                </c:pt>
                <c:pt idx="37">
                  <c:v>THE7HABITS12</c:v>
                </c:pt>
                <c:pt idx="38">
                  <c:v>THE-COURAGE01</c:v>
                </c:pt>
                <c:pt idx="39">
                  <c:v>The-Intelligent-Investor</c:v>
                </c:pt>
                <c:pt idx="40">
                  <c:v>THE-MAGIC01</c:v>
                </c:pt>
                <c:pt idx="41">
                  <c:v>THE-MAGIC04</c:v>
                </c:pt>
                <c:pt idx="42">
                  <c:v>THE-MAGIC05</c:v>
                </c:pt>
                <c:pt idx="43">
                  <c:v>THE-MAGIC-IKIGAI</c:v>
                </c:pt>
                <c:pt idx="44">
                  <c:v>THEMAGICTHINKBIG-1</c:v>
                </c:pt>
                <c:pt idx="45">
                  <c:v>THEWARRENBUFFET-1</c:v>
                </c:pt>
                <c:pt idx="46">
                  <c:v>T-M</c:v>
                </c:pt>
                <c:pt idx="47">
                  <c:v>WHO-MINDSET</c:v>
                </c:pt>
                <c:pt idx="48">
                  <c:v>WHO-MONK-LIFE01</c:v>
                </c:pt>
                <c:pt idx="49">
                  <c:v>WHO-WILL-CRY</c:v>
                </c:pt>
                <c:pt idx="50">
                  <c:v>WHO-WILL-CRY01</c:v>
                </c:pt>
                <c:pt idx="51">
                  <c:v>WHO-WILL-CRY03</c:v>
                </c:pt>
              </c:strCache>
            </c:strRef>
          </c:cat>
          <c:val>
            <c:numRef>
              <c:f>Top_Sold_SKUs!$B$4:$B$56</c:f>
              <c:numCache>
                <c:formatCode>General</c:formatCode>
                <c:ptCount val="52"/>
                <c:pt idx="0">
                  <c:v>4</c:v>
                </c:pt>
                <c:pt idx="1">
                  <c:v>4</c:v>
                </c:pt>
                <c:pt idx="2">
                  <c:v>9</c:v>
                </c:pt>
                <c:pt idx="3">
                  <c:v>1</c:v>
                </c:pt>
                <c:pt idx="4">
                  <c:v>1</c:v>
                </c:pt>
                <c:pt idx="5">
                  <c:v>1</c:v>
                </c:pt>
                <c:pt idx="6">
                  <c:v>5</c:v>
                </c:pt>
                <c:pt idx="7">
                  <c:v>4</c:v>
                </c:pt>
                <c:pt idx="8">
                  <c:v>1</c:v>
                </c:pt>
                <c:pt idx="9">
                  <c:v>1</c:v>
                </c:pt>
                <c:pt idx="10">
                  <c:v>1</c:v>
                </c:pt>
                <c:pt idx="11">
                  <c:v>1</c:v>
                </c:pt>
                <c:pt idx="12">
                  <c:v>7</c:v>
                </c:pt>
                <c:pt idx="13">
                  <c:v>2</c:v>
                </c:pt>
                <c:pt idx="14">
                  <c:v>5</c:v>
                </c:pt>
                <c:pt idx="15">
                  <c:v>4</c:v>
                </c:pt>
                <c:pt idx="16">
                  <c:v>3</c:v>
                </c:pt>
                <c:pt idx="17">
                  <c:v>4</c:v>
                </c:pt>
                <c:pt idx="18">
                  <c:v>3</c:v>
                </c:pt>
                <c:pt idx="19">
                  <c:v>1</c:v>
                </c:pt>
                <c:pt idx="20">
                  <c:v>2</c:v>
                </c:pt>
                <c:pt idx="21">
                  <c:v>1</c:v>
                </c:pt>
                <c:pt idx="22">
                  <c:v>1</c:v>
                </c:pt>
                <c:pt idx="23">
                  <c:v>1</c:v>
                </c:pt>
                <c:pt idx="24">
                  <c:v>1</c:v>
                </c:pt>
                <c:pt idx="25">
                  <c:v>5</c:v>
                </c:pt>
                <c:pt idx="26">
                  <c:v>3</c:v>
                </c:pt>
                <c:pt idx="27">
                  <c:v>3</c:v>
                </c:pt>
                <c:pt idx="28">
                  <c:v>2</c:v>
                </c:pt>
                <c:pt idx="29">
                  <c:v>1</c:v>
                </c:pt>
                <c:pt idx="30">
                  <c:v>1</c:v>
                </c:pt>
                <c:pt idx="31">
                  <c:v>1</c:v>
                </c:pt>
                <c:pt idx="32">
                  <c:v>8</c:v>
                </c:pt>
                <c:pt idx="33">
                  <c:v>1</c:v>
                </c:pt>
                <c:pt idx="34">
                  <c:v>1</c:v>
                </c:pt>
                <c:pt idx="35">
                  <c:v>2</c:v>
                </c:pt>
                <c:pt idx="36">
                  <c:v>9</c:v>
                </c:pt>
                <c:pt idx="37">
                  <c:v>3</c:v>
                </c:pt>
                <c:pt idx="38">
                  <c:v>14</c:v>
                </c:pt>
                <c:pt idx="39">
                  <c:v>2</c:v>
                </c:pt>
                <c:pt idx="40">
                  <c:v>3</c:v>
                </c:pt>
                <c:pt idx="41">
                  <c:v>1</c:v>
                </c:pt>
                <c:pt idx="42">
                  <c:v>2</c:v>
                </c:pt>
                <c:pt idx="43">
                  <c:v>5</c:v>
                </c:pt>
                <c:pt idx="44">
                  <c:v>2</c:v>
                </c:pt>
                <c:pt idx="45">
                  <c:v>1</c:v>
                </c:pt>
                <c:pt idx="46">
                  <c:v>1</c:v>
                </c:pt>
                <c:pt idx="47">
                  <c:v>2</c:v>
                </c:pt>
                <c:pt idx="48">
                  <c:v>1</c:v>
                </c:pt>
                <c:pt idx="49">
                  <c:v>1</c:v>
                </c:pt>
                <c:pt idx="50">
                  <c:v>14</c:v>
                </c:pt>
                <c:pt idx="51">
                  <c:v>3</c:v>
                </c:pt>
              </c:numCache>
            </c:numRef>
          </c:val>
          <c:extLst>
            <c:ext xmlns:c16="http://schemas.microsoft.com/office/drawing/2014/chart" uri="{C3380CC4-5D6E-409C-BE32-E72D297353CC}">
              <c16:uniqueId val="{00000000-AA5B-4087-8214-8F05C5EB8C47}"/>
            </c:ext>
          </c:extLst>
        </c:ser>
        <c:dLbls>
          <c:dLblPos val="outEnd"/>
          <c:showLegendKey val="0"/>
          <c:showVal val="1"/>
          <c:showCatName val="0"/>
          <c:showSerName val="0"/>
          <c:showPercent val="0"/>
          <c:showBubbleSize val="0"/>
        </c:dLbls>
        <c:gapWidth val="219"/>
        <c:overlap val="-27"/>
        <c:axId val="677647568"/>
        <c:axId val="831418336"/>
      </c:barChart>
      <c:catAx>
        <c:axId val="677647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1418336"/>
        <c:crosses val="autoZero"/>
        <c:auto val="1"/>
        <c:lblAlgn val="ctr"/>
        <c:lblOffset val="100"/>
        <c:noMultiLvlLbl val="0"/>
      </c:catAx>
      <c:valAx>
        <c:axId val="831418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76475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 data 2025 Project.xlsx]States!PivotTable1</c:name>
    <c:fmtId val="0"/>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2000">
                <a:latin typeface="Arial" panose="020B0604020202020204" pitchFamily="34" charset="0"/>
                <a:cs typeface="Arial" panose="020B0604020202020204" pitchFamily="34" charset="0"/>
              </a:rPr>
              <a:t>SKUs</a:t>
            </a:r>
            <a:r>
              <a:rPr lang="en-US" sz="2000" baseline="0">
                <a:latin typeface="Arial" panose="020B0604020202020204" pitchFamily="34" charset="0"/>
                <a:cs typeface="Arial" panose="020B0604020202020204" pitchFamily="34" charset="0"/>
              </a:rPr>
              <a:t> </a:t>
            </a:r>
            <a:r>
              <a:rPr lang="en-US" sz="2000">
                <a:latin typeface="Arial" panose="020B0604020202020204" pitchFamily="34" charset="0"/>
                <a:cs typeface="Arial" panose="020B0604020202020204" pitchFamily="34" charset="0"/>
              </a:rPr>
              <a:t>Sold in each State</a:t>
            </a:r>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States!$B$3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States!$A$4:$A$31</c:f>
              <c:strCache>
                <c:ptCount val="27"/>
                <c:pt idx="0">
                  <c:v>Andhra Pradesh</c:v>
                </c:pt>
                <c:pt idx="1">
                  <c:v>Arunachal Pradesh</c:v>
                </c:pt>
                <c:pt idx="2">
                  <c:v>Assam</c:v>
                </c:pt>
                <c:pt idx="3">
                  <c:v>Bihar</c:v>
                </c:pt>
                <c:pt idx="4">
                  <c:v>Chandigarh</c:v>
                </c:pt>
                <c:pt idx="5">
                  <c:v>Chhattisgarh</c:v>
                </c:pt>
                <c:pt idx="6">
                  <c:v>Delhi</c:v>
                </c:pt>
                <c:pt idx="7">
                  <c:v>Gujarat</c:v>
                </c:pt>
                <c:pt idx="8">
                  <c:v>Haryana</c:v>
                </c:pt>
                <c:pt idx="9">
                  <c:v>Himachal Pradesh</c:v>
                </c:pt>
                <c:pt idx="10">
                  <c:v>Jammu &amp; Kashmir</c:v>
                </c:pt>
                <c:pt idx="11">
                  <c:v>Jharkhand</c:v>
                </c:pt>
                <c:pt idx="12">
                  <c:v>Karnataka</c:v>
                </c:pt>
                <c:pt idx="13">
                  <c:v>Kerala</c:v>
                </c:pt>
                <c:pt idx="14">
                  <c:v>Madhya Pradesh</c:v>
                </c:pt>
                <c:pt idx="15">
                  <c:v>Maharashtra</c:v>
                </c:pt>
                <c:pt idx="16">
                  <c:v>Manipur</c:v>
                </c:pt>
                <c:pt idx="17">
                  <c:v>Meghalaya</c:v>
                </c:pt>
                <c:pt idx="18">
                  <c:v>Nagaland</c:v>
                </c:pt>
                <c:pt idx="19">
                  <c:v>Odisha</c:v>
                </c:pt>
                <c:pt idx="20">
                  <c:v>Punjab</c:v>
                </c:pt>
                <c:pt idx="21">
                  <c:v>Rajasthan</c:v>
                </c:pt>
                <c:pt idx="22">
                  <c:v>Tamil Nadu</c:v>
                </c:pt>
                <c:pt idx="23">
                  <c:v>Telangana</c:v>
                </c:pt>
                <c:pt idx="24">
                  <c:v>Uttar Pradesh</c:v>
                </c:pt>
                <c:pt idx="25">
                  <c:v>Uttarakhand</c:v>
                </c:pt>
                <c:pt idx="26">
                  <c:v>West Bengal</c:v>
                </c:pt>
              </c:strCache>
            </c:strRef>
          </c:cat>
          <c:val>
            <c:numRef>
              <c:f>States!$B$4:$B$31</c:f>
              <c:numCache>
                <c:formatCode>General</c:formatCode>
                <c:ptCount val="27"/>
                <c:pt idx="0">
                  <c:v>4</c:v>
                </c:pt>
                <c:pt idx="1">
                  <c:v>2</c:v>
                </c:pt>
                <c:pt idx="2">
                  <c:v>9</c:v>
                </c:pt>
                <c:pt idx="3">
                  <c:v>8</c:v>
                </c:pt>
                <c:pt idx="4">
                  <c:v>2</c:v>
                </c:pt>
                <c:pt idx="5">
                  <c:v>1</c:v>
                </c:pt>
                <c:pt idx="6">
                  <c:v>6</c:v>
                </c:pt>
                <c:pt idx="7">
                  <c:v>7</c:v>
                </c:pt>
                <c:pt idx="8">
                  <c:v>3</c:v>
                </c:pt>
                <c:pt idx="9">
                  <c:v>2</c:v>
                </c:pt>
                <c:pt idx="10">
                  <c:v>1</c:v>
                </c:pt>
                <c:pt idx="11">
                  <c:v>1</c:v>
                </c:pt>
                <c:pt idx="12">
                  <c:v>18</c:v>
                </c:pt>
                <c:pt idx="13">
                  <c:v>4</c:v>
                </c:pt>
                <c:pt idx="14">
                  <c:v>2</c:v>
                </c:pt>
                <c:pt idx="15">
                  <c:v>33</c:v>
                </c:pt>
                <c:pt idx="16">
                  <c:v>1</c:v>
                </c:pt>
                <c:pt idx="17">
                  <c:v>2</c:v>
                </c:pt>
                <c:pt idx="18">
                  <c:v>2</c:v>
                </c:pt>
                <c:pt idx="19">
                  <c:v>3</c:v>
                </c:pt>
                <c:pt idx="20">
                  <c:v>4</c:v>
                </c:pt>
                <c:pt idx="21">
                  <c:v>3</c:v>
                </c:pt>
                <c:pt idx="22">
                  <c:v>14</c:v>
                </c:pt>
                <c:pt idx="23">
                  <c:v>6</c:v>
                </c:pt>
                <c:pt idx="24">
                  <c:v>10</c:v>
                </c:pt>
                <c:pt idx="25">
                  <c:v>3</c:v>
                </c:pt>
                <c:pt idx="26">
                  <c:v>9</c:v>
                </c:pt>
              </c:numCache>
            </c:numRef>
          </c:val>
          <c:extLst>
            <c:ext xmlns:c16="http://schemas.microsoft.com/office/drawing/2014/chart" uri="{C3380CC4-5D6E-409C-BE32-E72D297353CC}">
              <c16:uniqueId val="{00000000-C3A9-4B1B-B1BF-3A7B400159BA}"/>
            </c:ext>
          </c:extLst>
        </c:ser>
        <c:dLbls>
          <c:showLegendKey val="0"/>
          <c:showVal val="0"/>
          <c:showCatName val="0"/>
          <c:showSerName val="0"/>
          <c:showPercent val="0"/>
          <c:showBubbleSize val="0"/>
        </c:dLbls>
        <c:gapWidth val="219"/>
        <c:overlap val="-27"/>
        <c:axId val="1131424303"/>
        <c:axId val="1121613247"/>
      </c:barChart>
      <c:catAx>
        <c:axId val="1131424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1613247"/>
        <c:crosses val="autoZero"/>
        <c:auto val="1"/>
        <c:lblAlgn val="ctr"/>
        <c:lblOffset val="100"/>
        <c:noMultiLvlLbl val="0"/>
      </c:catAx>
      <c:valAx>
        <c:axId val="1121613247"/>
        <c:scaling>
          <c:orientation val="minMax"/>
          <c:max val="4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14243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369570</xdr:colOff>
      <xdr:row>15</xdr:row>
      <xdr:rowOff>68580</xdr:rowOff>
    </xdr:from>
    <xdr:to>
      <xdr:col>13</xdr:col>
      <xdr:colOff>7620</xdr:colOff>
      <xdr:row>31</xdr:row>
      <xdr:rowOff>22860</xdr:rowOff>
    </xdr:to>
    <xdr:graphicFrame macro="">
      <xdr:nvGraphicFramePr>
        <xdr:cNvPr id="7" name="Chart 6">
          <a:extLst>
            <a:ext uri="{FF2B5EF4-FFF2-40B4-BE49-F238E27FC236}">
              <a16:creationId xmlns:a16="http://schemas.microsoft.com/office/drawing/2014/main" id="{0A54F626-21A6-42D2-AD17-9DE8AC8E19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373380</xdr:colOff>
      <xdr:row>0</xdr:row>
      <xdr:rowOff>45720</xdr:rowOff>
    </xdr:from>
    <xdr:to>
      <xdr:col>13</xdr:col>
      <xdr:colOff>0</xdr:colOff>
      <xdr:row>15</xdr:row>
      <xdr:rowOff>38100</xdr:rowOff>
    </xdr:to>
    <xdr:graphicFrame macro="">
      <xdr:nvGraphicFramePr>
        <xdr:cNvPr id="2" name="Chart 1">
          <a:extLst>
            <a:ext uri="{FF2B5EF4-FFF2-40B4-BE49-F238E27FC236}">
              <a16:creationId xmlns:a16="http://schemas.microsoft.com/office/drawing/2014/main" id="{8180EB3D-5B81-4E50-854C-CFFD0D6949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30480</xdr:colOff>
      <xdr:row>0</xdr:row>
      <xdr:rowOff>30480</xdr:rowOff>
    </xdr:from>
    <xdr:to>
      <xdr:col>17</xdr:col>
      <xdr:colOff>457200</xdr:colOff>
      <xdr:row>19</xdr:row>
      <xdr:rowOff>60960</xdr:rowOff>
    </xdr:to>
    <xdr:graphicFrame macro="">
      <xdr:nvGraphicFramePr>
        <xdr:cNvPr id="2" name="Chart 1">
          <a:extLst>
            <a:ext uri="{FF2B5EF4-FFF2-40B4-BE49-F238E27FC236}">
              <a16:creationId xmlns:a16="http://schemas.microsoft.com/office/drawing/2014/main" id="{1194804A-894F-4C8F-A3E9-E60F728399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152400</xdr:colOff>
      <xdr:row>20</xdr:row>
      <xdr:rowOff>175260</xdr:rowOff>
    </xdr:from>
    <xdr:to>
      <xdr:col>5</xdr:col>
      <xdr:colOff>152400</xdr:colOff>
      <xdr:row>32</xdr:row>
      <xdr:rowOff>36195</xdr:rowOff>
    </xdr:to>
    <mc:AlternateContent xmlns:mc="http://schemas.openxmlformats.org/markup-compatibility/2006" xmlns:a14="http://schemas.microsoft.com/office/drawing/2010/main">
      <mc:Choice Requires="a14">
        <xdr:graphicFrame macro="">
          <xdr:nvGraphicFramePr>
            <xdr:cNvPr id="3" name="MONTH">
              <a:extLst>
                <a:ext uri="{FF2B5EF4-FFF2-40B4-BE49-F238E27FC236}">
                  <a16:creationId xmlns:a16="http://schemas.microsoft.com/office/drawing/2014/main" id="{CDA62A9F-54F8-40B6-92FD-F3C1F317F4A0}"/>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3787140" y="38328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243840</xdr:colOff>
      <xdr:row>21</xdr:row>
      <xdr:rowOff>0</xdr:rowOff>
    </xdr:from>
    <xdr:to>
      <xdr:col>8</xdr:col>
      <xdr:colOff>243840</xdr:colOff>
      <xdr:row>32</xdr:row>
      <xdr:rowOff>43815</xdr:rowOff>
    </xdr:to>
    <mc:AlternateContent xmlns:mc="http://schemas.openxmlformats.org/markup-compatibility/2006" xmlns:a14="http://schemas.microsoft.com/office/drawing/2010/main">
      <mc:Choice Requires="a14">
        <xdr:graphicFrame macro="">
          <xdr:nvGraphicFramePr>
            <xdr:cNvPr id="4" name="Customer's Delivery State">
              <a:extLst>
                <a:ext uri="{FF2B5EF4-FFF2-40B4-BE49-F238E27FC236}">
                  <a16:creationId xmlns:a16="http://schemas.microsoft.com/office/drawing/2014/main" id="{5B3F2026-A9B6-4A87-84B7-D86B21560C0D}"/>
                </a:ext>
              </a:extLst>
            </xdr:cNvPr>
            <xdr:cNvGraphicFramePr/>
          </xdr:nvGraphicFramePr>
          <xdr:xfrm>
            <a:off x="0" y="0"/>
            <a:ext cx="0" cy="0"/>
          </xdr:xfrm>
          <a:graphic>
            <a:graphicData uri="http://schemas.microsoft.com/office/drawing/2010/slicer">
              <sle:slicer xmlns:sle="http://schemas.microsoft.com/office/drawing/2010/slicer" name="Customer's Delivery State"/>
            </a:graphicData>
          </a:graphic>
        </xdr:graphicFrame>
      </mc:Choice>
      <mc:Fallback xmlns="">
        <xdr:sp macro="" textlink="">
          <xdr:nvSpPr>
            <xdr:cNvPr id="0" name=""/>
            <xdr:cNvSpPr>
              <a:spLocks noTextEdit="1"/>
            </xdr:cNvSpPr>
          </xdr:nvSpPr>
          <xdr:spPr>
            <a:xfrm>
              <a:off x="5707380" y="38404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251460</xdr:colOff>
      <xdr:row>33</xdr:row>
      <xdr:rowOff>7620</xdr:rowOff>
    </xdr:from>
    <xdr:to>
      <xdr:col>5</xdr:col>
      <xdr:colOff>251460</xdr:colOff>
      <xdr:row>46</xdr:row>
      <xdr:rowOff>89535</xdr:rowOff>
    </xdr:to>
    <mc:AlternateContent xmlns:mc="http://schemas.openxmlformats.org/markup-compatibility/2006" xmlns:a14="http://schemas.microsoft.com/office/drawing/2010/main">
      <mc:Choice Requires="a14">
        <xdr:graphicFrame macro="">
          <xdr:nvGraphicFramePr>
            <xdr:cNvPr id="5" name="City">
              <a:extLst>
                <a:ext uri="{FF2B5EF4-FFF2-40B4-BE49-F238E27FC236}">
                  <a16:creationId xmlns:a16="http://schemas.microsoft.com/office/drawing/2014/main" id="{0D6D4CCF-6D68-40D9-8317-227119C417D2}"/>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3886200" y="64617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144780</xdr:colOff>
      <xdr:row>0</xdr:row>
      <xdr:rowOff>114300</xdr:rowOff>
    </xdr:from>
    <xdr:to>
      <xdr:col>12</xdr:col>
      <xdr:colOff>342900</xdr:colOff>
      <xdr:row>22</xdr:row>
      <xdr:rowOff>60960</xdr:rowOff>
    </xdr:to>
    <xdr:graphicFrame macro="">
      <xdr:nvGraphicFramePr>
        <xdr:cNvPr id="2" name="Chart 1">
          <a:extLst>
            <a:ext uri="{FF2B5EF4-FFF2-40B4-BE49-F238E27FC236}">
              <a16:creationId xmlns:a16="http://schemas.microsoft.com/office/drawing/2014/main" id="{B02C6393-D39C-4DC3-9881-52652B983D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077.155261921296" createdVersion="6" refreshedVersion="6" minRefreshableVersion="3" recordCount="160" xr:uid="{02C71C33-B6CE-4A9C-B9B1-287EFB7EF1D6}">
  <cacheSource type="worksheet">
    <worksheetSource name="Table2"/>
  </cacheSource>
  <cacheFields count="64">
    <cacheField name="Seller GSTIN" numFmtId="0">
      <sharedItems/>
    </cacheField>
    <cacheField name="Order ID" numFmtId="0">
      <sharedItems/>
    </cacheField>
    <cacheField name="Order Item ID" numFmtId="0">
      <sharedItems/>
    </cacheField>
    <cacheField name="Product Title/Description" numFmtId="0">
      <sharedItems/>
    </cacheField>
    <cacheField name="FSN" numFmtId="0">
      <sharedItems/>
    </cacheField>
    <cacheField name="Column1" numFmtId="0">
      <sharedItems/>
    </cacheField>
    <cacheField name="SKU" numFmtId="0">
      <sharedItems count="52">
        <s v="CANT-ME"/>
        <s v="ALCHEMIST01"/>
        <s v="PSYCH01"/>
        <s v="CANT02"/>
        <s v="T-F-A-S01"/>
        <s v="MIRACLE-MORNING01"/>
        <s v="A-T-I"/>
        <s v="THEMAGICTHINKBIG-1"/>
        <s v="The-Intelligent-Investor"/>
        <s v="MIRACLE-COURAGE-ATOMIC-DEEP"/>
        <s v="T-M"/>
        <s v="DO-EPIC-FROG"/>
        <s v="THE7HABITS12"/>
        <s v="THANGRORICH"/>
        <s v="WHO-MONK-LIFE01"/>
        <s v="T-F-A-S"/>
        <s v="7HABITS07"/>
        <s v="5AM-01"/>
        <s v="ONEUP"/>
        <s v="CANT-RICH-PSYCH-ART"/>
        <s v="RICH-DAD-HINDI03"/>
        <s v="ENERGIZE-YOUR-MIND"/>
        <s v="LIFE02"/>
        <s v="WHO-MINDSET"/>
        <s v="WHO-WILL-CRY03"/>
        <s v="CANT"/>
        <s v="WHO-WILL-CRY01"/>
        <s v="THEWARRENBUFFET-1"/>
        <s v="PSYCH-5AM"/>
        <s v="DO-EPIC-SHIT03"/>
        <s v="DOGLAPAN03"/>
        <s v="GOTOGRE_02"/>
        <s v="DOGLAPAN02"/>
        <s v="KARMA-2"/>
        <s v="DOMORE-4"/>
        <s v="RICH-DAD-HINDI02"/>
        <s v="THE-MAGIC-IKIGAI"/>
        <s v="DO-EPIC-SHIT01"/>
        <s v="THE-MAGIC01"/>
        <s v="STOPOVERTHINKING-1"/>
        <s v="THE-COURAGE01"/>
        <s v="ATOMIC-HABIT-HINDI"/>
        <s v="THE-MAGIC04"/>
        <s v="PSYCH05"/>
        <s v="PSYCH02"/>
        <s v="WHO-WILL-CRY"/>
        <s v="ENERGIZE-YOUR-MIND03"/>
        <s v="PSYCH-01"/>
        <s v="ENERGIZE-YOUR-MIND01"/>
        <s v="ENERGIZE-YOUR-MIND02"/>
        <s v="ELON-MUSK01"/>
        <s v="THE-MAGIC05"/>
      </sharedItems>
    </cacheField>
    <cacheField name="HSN Code" numFmtId="0">
      <sharedItems/>
    </cacheField>
    <cacheField name="Event Type" numFmtId="0">
      <sharedItems/>
    </cacheField>
    <cacheField name="Event Sub Type" numFmtId="0">
      <sharedItems count="4">
        <s v="Sale"/>
        <s v="Cancellation"/>
        <s v="Return"/>
        <s v="Return Cancellation" u="1"/>
      </sharedItems>
    </cacheField>
    <cacheField name="Order Type" numFmtId="0">
      <sharedItems/>
    </cacheField>
    <cacheField name="Fulfilment Type" numFmtId="0">
      <sharedItems/>
    </cacheField>
    <cacheField name="Order Date" numFmtId="0">
      <sharedItems/>
    </cacheField>
    <cacheField name="MONTH" numFmtId="0">
      <sharedItems count="7">
        <s v="June"/>
        <s v="July"/>
        <s v="August"/>
        <s v="September"/>
        <s v="October"/>
        <s v="November"/>
        <s v="December"/>
      </sharedItems>
    </cacheField>
    <cacheField name="Order Approval Date" numFmtId="0">
      <sharedItems/>
    </cacheField>
    <cacheField name="Item Quantity" numFmtId="0">
      <sharedItems/>
    </cacheField>
    <cacheField name="Order Shipped From (State)" numFmtId="0">
      <sharedItems/>
    </cacheField>
    <cacheField name="Warehouse ID" numFmtId="0">
      <sharedItems/>
    </cacheField>
    <cacheField name="Price before discount" numFmtId="0">
      <sharedItems/>
    </cacheField>
    <cacheField name="Total Discount" numFmtId="0">
      <sharedItems/>
    </cacheField>
    <cacheField name="Seller Share" numFmtId="0">
      <sharedItems/>
    </cacheField>
    <cacheField name="Bank Offer Share" numFmtId="0">
      <sharedItems/>
    </cacheField>
    <cacheField name="Price after discount (Price before discount-Total discount)" numFmtId="0">
      <sharedItems/>
    </cacheField>
    <cacheField name="Shipping Charges" numFmtId="0">
      <sharedItems/>
    </cacheField>
    <cacheField name="Final Invoice Amount (Price after discount+Shipping Charges)" numFmtId="0">
      <sharedItems/>
    </cacheField>
    <cacheField name="Type of tax" numFmtId="0">
      <sharedItems/>
    </cacheField>
    <cacheField name="Taxable Value (Final Invoice Amount -Taxes)" numFmtId="0">
      <sharedItems/>
    </cacheField>
    <cacheField name="CST Rate" numFmtId="0">
      <sharedItems/>
    </cacheField>
    <cacheField name="CST Amount" numFmtId="0">
      <sharedItems/>
    </cacheField>
    <cacheField name="VAT Rate" numFmtId="0">
      <sharedItems/>
    </cacheField>
    <cacheField name="VAT Amount" numFmtId="0">
      <sharedItems/>
    </cacheField>
    <cacheField name="Luxury Cess Rate" numFmtId="0">
      <sharedItems/>
    </cacheField>
    <cacheField name="Luxury Cess Amount" numFmtId="0">
      <sharedItems/>
    </cacheField>
    <cacheField name="IGST Rate" numFmtId="0">
      <sharedItems/>
    </cacheField>
    <cacheField name="IGST Amount" numFmtId="0">
      <sharedItems/>
    </cacheField>
    <cacheField name="CGST Rate" numFmtId="0">
      <sharedItems/>
    </cacheField>
    <cacheField name="CGST Amount" numFmtId="0">
      <sharedItems/>
    </cacheField>
    <cacheField name="SGST Rate (or UTGST as applicable)" numFmtId="0">
      <sharedItems/>
    </cacheField>
    <cacheField name="SGST Amount (Or UTGST as applicable)" numFmtId="0">
      <sharedItems/>
    </cacheField>
    <cacheField name="TCS IGST Rate" numFmtId="0">
      <sharedItems/>
    </cacheField>
    <cacheField name="TCS IGST Amount" numFmtId="0">
      <sharedItems/>
    </cacheField>
    <cacheField name="TCS CGST Rate" numFmtId="0">
      <sharedItems/>
    </cacheField>
    <cacheField name="TCS CGST Amount" numFmtId="0">
      <sharedItems/>
    </cacheField>
    <cacheField name="TCS SGST Rate" numFmtId="0">
      <sharedItems/>
    </cacheField>
    <cacheField name="TCS SGST Amount" numFmtId="0">
      <sharedItems/>
    </cacheField>
    <cacheField name="Total TCS Deducted" numFmtId="0">
      <sharedItems/>
    </cacheField>
    <cacheField name="Buyer Invoice ID" numFmtId="0">
      <sharedItems/>
    </cacheField>
    <cacheField name="Buyer Invoice Date" numFmtId="0">
      <sharedItems/>
    </cacheField>
    <cacheField name="Buyer Invoice Amount" numFmtId="0">
      <sharedItems/>
    </cacheField>
    <cacheField name="Customer's Billing Pincode" numFmtId="0">
      <sharedItems/>
    </cacheField>
    <cacheField name="Customer's Billing State" numFmtId="0">
      <sharedItems/>
    </cacheField>
    <cacheField name="Customer's Delivery Pincode" numFmtId="0">
      <sharedItems containsMixedTypes="1" containsNumber="1" containsInteger="1" minValue="560058" maxValue="797109"/>
    </cacheField>
    <cacheField name="Column2" numFmtId="0">
      <sharedItems/>
    </cacheField>
    <cacheField name="City" numFmtId="0">
      <sharedItems count="75">
        <s v=" Belagavi"/>
        <s v=" Bhubaneswar"/>
        <s v=" Dehradun"/>
        <s v=" Pune"/>
        <s v=" Chennai"/>
        <s v=" Solapur"/>
        <s v=" Guwahati"/>
        <s v=" Chandigarh"/>
        <s v=" Ranchi"/>
        <s v=" Silchar"/>
        <s v=" Nagpur"/>
        <s v=" Jammu"/>
        <s v=" Kolkata"/>
        <s v=" Dharwad"/>
        <s v=" Agra"/>
        <s v=" Ratnagiri"/>
        <s v=" Rajkot"/>
        <s v=" Mathura"/>
        <s v=" Vadodara"/>
        <s v=" Kochi"/>
        <s v=" Dibrugarh"/>
        <s v=" Moradabad"/>
        <s v=" Vijayawada"/>
        <s v=" Coimbatore"/>
        <s v=" Bengaluru"/>
        <s v=" Nizamabad"/>
        <s v=" Meerut"/>
        <s v=" Azamgarh"/>
        <s v=" Madurai"/>
        <s v=" Siliguri"/>
        <s v=" Gorakhpur"/>
        <s v=" Shillong"/>
        <s v=" Bhopal"/>
        <s v=" Mumbai"/>
        <s v=" Hyderabad"/>
        <s v=" Jalandhar"/>
        <s v=" Khammam"/>
        <s v=" Tura"/>
        <s v=" Udaipur"/>
        <s v=" Ludhiana"/>
        <s v=" Bhagalpur"/>
        <s v=" New Delhi"/>
        <s v=" Nashik"/>
        <s v=" Gadag"/>
        <s v=" Howrah"/>
        <s v=" Jalgaon"/>
        <s v=" Bihar Sharif"/>
        <s v=" Varanasi"/>
        <s v=" Adilabad"/>
        <s v=" Ambala"/>
        <s v=" Kozhikode"/>
        <s v=" Kolhapur"/>
        <s v=" Ahmedabad"/>
        <s v=" Chittorgarh"/>
        <s v=" Bilaspur"/>
        <s v=" Pauri Garhwal"/>
        <s v=" Patna"/>
        <s v=" Puducherry"/>
        <s v=" Shimla"/>
        <s v=" Bardhaman"/>
        <s v=" Hubli"/>
        <s v=" Jodhpur"/>
        <s v=" Hazaribagh"/>
        <s v=" Akola"/>
        <s v=" Mangaluru"/>
        <s v=" Vellore"/>
        <s v=" Tiruchirappalli"/>
        <s v=" Yavatmal"/>
        <s v=" Valsad"/>
        <s v=" Tiruvannamalai"/>
        <s v=" Jamnagar"/>
        <s v=" Aizawl"/>
        <s v=" Cachar"/>
        <s v=" Wayanad"/>
        <s v=" Salem"/>
      </sharedItems>
    </cacheField>
    <cacheField name="Customer's Delivery State" numFmtId="0">
      <sharedItems count="28">
        <s v="Karnataka"/>
        <s v="Odisha"/>
        <s v="Uttarakhand"/>
        <s v="Maharashtra"/>
        <s v="Tamil Nadu"/>
        <s v="Assam"/>
        <s v="Chandigarh"/>
        <s v="Jharkhand"/>
        <s v="Jammu &amp; Kashmir"/>
        <s v="West Bengal"/>
        <s v="Uttar Pradesh"/>
        <s v="Gujarat"/>
        <s v="Kerala"/>
        <s v="Andhra Pradesh"/>
        <s v="Telangana"/>
        <s v="Meghalaya"/>
        <s v="Madhya Pradesh"/>
        <s v="Punjab"/>
        <s v="Arunachal Pradesh"/>
        <s v="Rajasthan"/>
        <s v="Bihar"/>
        <s v="Delhi"/>
        <s v="Haryana"/>
        <s v="Chhattisgarh"/>
        <s v="Himachal Pradesh"/>
        <s v="Manipur"/>
        <s v="Nagaland"/>
        <s v="NA" u="1"/>
      </sharedItems>
    </cacheField>
    <cacheField name="Usual Price" numFmtId="0">
      <sharedItems/>
    </cacheField>
    <cacheField name="Is Shopsy Order?" numFmtId="0">
      <sharedItems/>
    </cacheField>
    <cacheField name="TDS Rate" numFmtId="0">
      <sharedItems/>
    </cacheField>
    <cacheField name="TDS Amount" numFmtId="0">
      <sharedItems/>
    </cacheField>
    <cacheField name="IRN" numFmtId="0">
      <sharedItems/>
    </cacheField>
    <cacheField name="Business Name" numFmtId="0">
      <sharedItems/>
    </cacheField>
    <cacheField name="Business GST Number" numFmtId="0">
      <sharedItems/>
    </cacheField>
    <cacheField name="Beneficiary Name" numFmtId="0">
      <sharedItems/>
    </cacheField>
    <cacheField name="IMEI" numFmtId="0">
      <sharedItems/>
    </cacheField>
  </cacheFields>
  <extLst>
    <ext xmlns:x14="http://schemas.microsoft.com/office/spreadsheetml/2009/9/main" uri="{725AE2AE-9491-48be-B2B4-4EB974FC3084}">
      <x14:pivotCacheDefinition pivotCacheId="124268678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0">
  <r>
    <s v="08FHGPP4088D1Z1"/>
    <s v="OD434807368241586100"/>
    <s v="434807368241586100"/>
    <s v="&quot;&quot;&quot;Can't Hurt Me: Master Your Mind And Defy The Odds Paperback, David Goggins&quot;&quot;&quot;"/>
    <s v="&quot;&quot;&quot;RBKHC37VJ2Q658FH&quot;&quot;&quot;"/>
    <s v="&quot;&quot;&quot;SKU:CANT-ME&quot;&quot;&quot;"/>
    <x v="0"/>
    <s v="49011010"/>
    <s v="Sale"/>
    <x v="0"/>
    <s v="Prepaid"/>
    <s v="NON_FBF"/>
    <s v="2025-06-29 00:00:00"/>
    <x v="0"/>
    <s v="2025-06-29 00:00:00"/>
    <s v="1.0"/>
    <s v="IN-RJ"/>
    <s v="NA"/>
    <s v="128.0"/>
    <s v="0.0"/>
    <s v="0.0"/>
    <s v="0.0"/>
    <s v="128.0"/>
    <s v="0.0"/>
    <s v="128.0"/>
    <s v="0"/>
    <s v="128.0"/>
    <s v="0.0"/>
    <s v="0.0"/>
    <s v="0.0"/>
    <s v="0.0"/>
    <s v="0.0"/>
    <s v="0.0"/>
    <s v="0.0"/>
    <s v="0.0"/>
    <s v="0.0"/>
    <s v="0.0"/>
    <s v="0.0"/>
    <s v="0.0"/>
    <s v="0.0"/>
    <s v="0.0"/>
    <s v="0.0"/>
    <s v="0.0"/>
    <s v="0.0"/>
    <s v="0.0"/>
    <s v="0.0"/>
    <s v="FAMNXL2600000005"/>
    <s v="2025-06-30 00:00:00.0"/>
    <s v="128.0"/>
    <s v="570009"/>
    <s v="Karnataka"/>
    <s v="570009"/>
    <s v="570009 – Belagavi"/>
    <x v="0"/>
    <x v="0"/>
    <s v="NA"/>
    <s v="false"/>
    <s v="0.1"/>
    <s v="0.128"/>
    <s v="NA"/>
    <s v="NA"/>
    <s v="NA"/>
    <s v="Sridhar P"/>
    <s v="NA"/>
  </r>
  <r>
    <s v="08FHGPP4088D1Z1"/>
    <s v="OD334811722886910100"/>
    <s v="334811722886910100"/>
    <s v="&quot;&quot;&quot;The Alchemist English, Paperback, Paulo Coelho&quot;&quot;&quot;"/>
    <s v="&quot;&quot;&quot;9781512761689&quot;&quot;&quot;"/>
    <s v="&quot;&quot;&quot;SKU:ALCHEMIST01&quot;&quot;&quot;"/>
    <x v="1"/>
    <s v="49011010"/>
    <s v="Sale"/>
    <x v="0"/>
    <s v="Prepaid"/>
    <s v="NON_FBF"/>
    <s v="2025-06-30 00:00:00"/>
    <x v="0"/>
    <s v="2025-06-30 00:00:00"/>
    <s v="1.0"/>
    <s v="IN-RJ"/>
    <s v="NA"/>
    <s v="94.0"/>
    <s v="0.0"/>
    <s v="0.0"/>
    <s v="0.0"/>
    <s v="94.0"/>
    <s v="0.0"/>
    <s v="94.0"/>
    <s v="0"/>
    <s v="94.0"/>
    <s v="0.0"/>
    <s v="0.0"/>
    <s v="0.0"/>
    <s v="0.0"/>
    <s v="0.0"/>
    <s v="0.0"/>
    <s v="0.0"/>
    <s v="0.0"/>
    <s v="0.0"/>
    <s v="0.0"/>
    <s v="0.0"/>
    <s v="0.0"/>
    <s v="0.0"/>
    <s v="0.0"/>
    <s v="0.0"/>
    <s v="0.0"/>
    <s v="0.0"/>
    <s v="0.0"/>
    <s v="0.0"/>
    <s v="FAMNXL2600000006"/>
    <s v="2025-06-30 00:00:00.0"/>
    <s v="94.0"/>
    <s v="770032"/>
    <s v="Odisha"/>
    <s v="770032"/>
    <s v="770032 – Bhubaneswar"/>
    <x v="1"/>
    <x v="1"/>
    <s v="NA"/>
    <s v="false"/>
    <s v="0.1"/>
    <s v="0.094"/>
    <s v="NA"/>
    <s v="NA"/>
    <s v="NA"/>
    <s v="Madhusudhan Bansingh"/>
    <s v="NA"/>
  </r>
  <r>
    <s v="08FHGPP4088D1Z1"/>
    <s v="OD334787125181557100"/>
    <s v="334787125181557101"/>
    <s v="&quot;&quot;&quot;The Psychology of Money Paperback, Morgan Housel&quot;&quot;&quot;"/>
    <s v="&quot;&quot;&quot;9781804091043&quot;&quot;&quot;"/>
    <s v="&quot;&quot;&quot;SKU:PSYCH01&quot;&quot;&quot;"/>
    <x v="2"/>
    <s v="49011010"/>
    <s v="Sale"/>
    <x v="0"/>
    <s v="Prepaid"/>
    <s v="NON_FBF"/>
    <s v="2025-06-27 00:00:00"/>
    <x v="0"/>
    <s v="2025-06-27 00:00:00"/>
    <s v="1.0"/>
    <s v="IN-RJ"/>
    <s v="NA"/>
    <s v="88.0"/>
    <s v="0.0"/>
    <s v="0.0"/>
    <s v="0.0"/>
    <s v="88.0"/>
    <s v="0.0"/>
    <s v="88.0"/>
    <s v="0"/>
    <s v="88.0"/>
    <s v="0.0"/>
    <s v="0.0"/>
    <s v="0.0"/>
    <s v="0.0"/>
    <s v="0.0"/>
    <s v="0.0"/>
    <s v="0.0"/>
    <s v="0.0"/>
    <s v="0.0"/>
    <s v="0.0"/>
    <s v="0.0"/>
    <s v="0.0"/>
    <s v="0.0"/>
    <s v="0.0"/>
    <s v="0.0"/>
    <s v="0.0"/>
    <s v="0.0"/>
    <s v="0.0"/>
    <s v="0.0"/>
    <s v="FAMNXL2600000001"/>
    <s v="2025-06-27 00:00:00.0"/>
    <s v="88.0"/>
    <s v="263645"/>
    <s v="Uttarakhand"/>
    <s v="263645"/>
    <s v="263645 – Dehradun"/>
    <x v="2"/>
    <x v="2"/>
    <s v="NA"/>
    <s v="false"/>
    <s v="0.1"/>
    <s v="0.088"/>
    <s v="NA"/>
    <s v="NA"/>
    <s v="NA"/>
    <s v="Sanjay Rautela"/>
    <s v="NA"/>
  </r>
  <r>
    <s v="08FHGPP4088D1Z1"/>
    <s v="OD334806769643017100"/>
    <s v="334806769643017100"/>
    <s v="&quot;&quot;&quot;THE Can't Hurt Me : Master Your Mind And Defy The Odds - Clean Edition Paperback, David Goggins&quot;&quot;&quot;"/>
    <s v="&quot;&quot;&quot;RBKHCZS2BY2JKZWG&quot;&quot;&quot;"/>
    <s v="&quot;&quot;&quot;SKU:CANT02&quot;&quot;&quot;"/>
    <x v="3"/>
    <s v="49011010"/>
    <s v="Sale"/>
    <x v="0"/>
    <s v="Prepaid"/>
    <s v="NON_FBF"/>
    <s v="2025-06-29 00:00:00"/>
    <x v="0"/>
    <s v="2025-06-29 00:00:00"/>
    <s v="1.0"/>
    <s v="IN-RJ"/>
    <s v="NA"/>
    <s v="128.0"/>
    <s v="0.0"/>
    <s v="0.0"/>
    <s v="0.0"/>
    <s v="128.0"/>
    <s v="0.0"/>
    <s v="128.0"/>
    <s v="0"/>
    <s v="128.0"/>
    <s v="0.0"/>
    <s v="0.0"/>
    <s v="0.0"/>
    <s v="0.0"/>
    <s v="0.0"/>
    <s v="0.0"/>
    <s v="0.0"/>
    <s v="0.0"/>
    <s v="0.0"/>
    <s v="0.0"/>
    <s v="0.0"/>
    <s v="0.0"/>
    <s v="0.0"/>
    <s v="0.0"/>
    <s v="0.0"/>
    <s v="0.0"/>
    <s v="0.0"/>
    <s v="0.0"/>
    <s v="0.0"/>
    <s v="FAMNXL2600000004"/>
    <s v="2025-06-30 00:00:00.0"/>
    <s v="128.0"/>
    <s v="410210"/>
    <s v="Maharashtra"/>
    <s v="410210"/>
    <s v="410210 – Pune"/>
    <x v="3"/>
    <x v="3"/>
    <s v="NA"/>
    <s v="false"/>
    <s v="0.1"/>
    <s v="0.128"/>
    <s v="NA"/>
    <s v="NA"/>
    <s v="NA"/>
    <s v="Puvi Praveen"/>
    <s v="NA"/>
  </r>
  <r>
    <s v="08FHGPP4088D1Z1"/>
    <s v="OD434799158194938100"/>
    <s v="434799158194938100"/>
    <s v="&quot;&quot;&quot;THE Can't Hurt Me : Master Your Mind And Defy The Odds - Clean Edition Paperback, David Goggins&quot;&quot;&quot;"/>
    <s v="&quot;&quot;&quot;RBKHCZS2BY2JKZWG&quot;&quot;&quot;"/>
    <s v="&quot;&quot;&quot;SKU:CANT02&quot;&quot;&quot;"/>
    <x v="3"/>
    <s v="49011010"/>
    <s v="Sale"/>
    <x v="0"/>
    <s v="Prepaid"/>
    <s v="NON_FBF"/>
    <s v="2025-06-29 00:00:00"/>
    <x v="0"/>
    <s v="2025-06-29 00:00:00"/>
    <s v="1.0"/>
    <s v="IN-RJ"/>
    <s v="NA"/>
    <s v="128.0"/>
    <s v="0.0"/>
    <s v="0.0"/>
    <s v="0.0"/>
    <s v="128.0"/>
    <s v="0.0"/>
    <s v="128.0"/>
    <s v="0"/>
    <s v="128.0"/>
    <s v="0.0"/>
    <s v="0.0"/>
    <s v="0.0"/>
    <s v="0.0"/>
    <s v="0.0"/>
    <s v="0.0"/>
    <s v="0.0"/>
    <s v="0.0"/>
    <s v="0.0"/>
    <s v="0.0"/>
    <s v="0.0"/>
    <s v="0.0"/>
    <s v="0.0"/>
    <s v="0.0"/>
    <s v="0.0"/>
    <s v="0.0"/>
    <s v="0.0"/>
    <s v="0.0"/>
    <s v="0.0"/>
    <s v="FAMNXL2600000002"/>
    <s v="2025-06-29 00:00:00.0"/>
    <s v="128.0"/>
    <s v="361150"/>
    <s v="Gujarat"/>
    <s v="600016"/>
    <s v="600016 – Chennai"/>
    <x v="4"/>
    <x v="4"/>
    <s v="NA"/>
    <s v="false"/>
    <s v="0.1"/>
    <s v="0.128"/>
    <s v="NA"/>
    <s v="NA"/>
    <s v="NA"/>
    <s v="DEEPAK BHIMAPPA POTADAR"/>
    <s v="NA"/>
  </r>
  <r>
    <s v="08FHGPP4088D1Z1"/>
    <s v="OD434803011784537100"/>
    <s v="434803011784537100"/>
    <s v="&quot;&quot;&quot;THE Can't Hurt Me : Master Your Mind And Defy The Odds - Clean Edition Paperback, David Goggins&quot;&quot;&quot;"/>
    <s v="&quot;&quot;&quot;RBKHCZS2BY2JKZWG&quot;&quot;&quot;"/>
    <s v="&quot;&quot;&quot;SKU:CANT02&quot;&quot;&quot;"/>
    <x v="3"/>
    <s v="49011010"/>
    <s v="Sale"/>
    <x v="0"/>
    <s v="Prepaid"/>
    <s v="NON_FBF"/>
    <s v="2025-06-29 00:00:00"/>
    <x v="0"/>
    <s v="2025-06-29 00:00:00"/>
    <s v="1.0"/>
    <s v="IN-RJ"/>
    <s v="NA"/>
    <s v="128.0"/>
    <s v="0.0"/>
    <s v="0.0"/>
    <s v="0.0"/>
    <s v="128.0"/>
    <s v="0.0"/>
    <s v="128.0"/>
    <s v="0"/>
    <s v="128.0"/>
    <s v="0.0"/>
    <s v="0.0"/>
    <s v="0.0"/>
    <s v="0.0"/>
    <s v="0.0"/>
    <s v="0.0"/>
    <s v="0.0"/>
    <s v="0.0"/>
    <s v="0.0"/>
    <s v="0.0"/>
    <s v="0.0"/>
    <s v="0.0"/>
    <s v="0.0"/>
    <s v="0.0"/>
    <s v="0.0"/>
    <s v="0.0"/>
    <s v="0.0"/>
    <s v="0.0"/>
    <s v="0.0"/>
    <s v="FAMNXL2600000003"/>
    <s v="2025-06-29 00:00:00.0"/>
    <s v="128.0"/>
    <s v="413705"/>
    <s v="Maharashtra"/>
    <s v="413705"/>
    <s v="413705 – Solapur"/>
    <x v="5"/>
    <x v="3"/>
    <s v="NA"/>
    <s v="false"/>
    <s v="0.1"/>
    <s v="0.128"/>
    <s v="NA"/>
    <s v="NA"/>
    <s v="NA"/>
    <s v="Rohit Kedar"/>
    <s v="NA"/>
  </r>
  <r>
    <s v="08FHGPP4088D1Z1"/>
    <s v="OD334906756869876100"/>
    <s v="334906756869876100"/>
    <s v="&quot;&quot;&quot;Thinking, Fast And Slow Paperback, INNOX&quot;&quot;&quot;"/>
    <s v="&quot;&quot;&quot;RBKHDH8FTXMAAGFG&quot;&quot;&quot;"/>
    <s v="&quot;&quot;&quot;SKU:T-F-A-S01&quot;&quot;&quot;"/>
    <x v="4"/>
    <s v="49011010"/>
    <s v="Return"/>
    <x v="1"/>
    <s v="Postpaid"/>
    <s v="NON_FBF"/>
    <s v="2025-07-11 00:00:00"/>
    <x v="1"/>
    <s v="2025-07-11 00:00:00"/>
    <s v="1.0"/>
    <s v="IN-RJ"/>
    <s v="NA"/>
    <s v="137.0"/>
    <s v="0.0"/>
    <s v="0.0"/>
    <s v="0.0"/>
    <s v="137.0"/>
    <s v="0.0"/>
    <s v="137.0"/>
    <s v="0"/>
    <s v="-137.0"/>
    <s v="0.0"/>
    <s v="0.0"/>
    <s v="0.0"/>
    <s v="0.0"/>
    <s v="0.0"/>
    <s v="0.0"/>
    <s v="0.0"/>
    <s v="0.0"/>
    <s v="0.0"/>
    <s v="0.0"/>
    <s v="0.0"/>
    <s v="0.0"/>
    <s v="0.0"/>
    <s v="0.0"/>
    <s v="0.0"/>
    <s v="0.0"/>
    <s v="0.0"/>
    <s v="0.0"/>
    <s v="0.0"/>
    <s v="RAKC4V2600000003"/>
    <s v="2025-07-12 00:00:00.0"/>
    <s v="-137.0"/>
    <s v="783384"/>
    <s v="Assam"/>
    <s v="783384"/>
    <s v="783384 – Guwahati"/>
    <x v="6"/>
    <x v="5"/>
    <s v="NA"/>
    <s v="false"/>
    <s v="0.1"/>
    <s v="0.137"/>
    <s v="NA"/>
    <s v="NA"/>
    <s v="NA"/>
    <s v="Himujit Barkakati"/>
    <s v="NA"/>
  </r>
  <r>
    <s v="08FHGPP4088D1Z1"/>
    <s v="OD334962126851823100"/>
    <s v="334962126851823100"/>
    <s v="&quot;&quot;&quot;Miracle Morning Paperback, Hal Elrod&quot;&quot;&quot;"/>
    <s v="&quot;&quot;&quot;9789832326960&quot;&quot;&quot;"/>
    <s v="&quot;&quot;&quot;SKU:MIRACLE-MORNING01&quot;&quot;&quot;"/>
    <x v="5"/>
    <s v="49011010"/>
    <s v="Sale"/>
    <x v="0"/>
    <s v="Postpaid"/>
    <s v="NON_FBF"/>
    <s v="2025-07-17 00:00:00"/>
    <x v="1"/>
    <s v="2025-07-17 00:00:00"/>
    <s v="1.0"/>
    <s v="IN-RJ"/>
    <s v="NA"/>
    <s v="112.0"/>
    <s v="0.0"/>
    <s v="0.0"/>
    <s v="0.0"/>
    <s v="112.0"/>
    <s v="0.0"/>
    <s v="112.0"/>
    <s v="0"/>
    <s v="112.0"/>
    <s v="0.0"/>
    <s v="0.0"/>
    <s v="0.0"/>
    <s v="0.0"/>
    <s v="0.0"/>
    <s v="0.0"/>
    <s v="0.0"/>
    <s v="0.0"/>
    <s v="0.0"/>
    <s v="0.0"/>
    <s v="0.0"/>
    <s v="0.0"/>
    <s v="0.0"/>
    <s v="0.0"/>
    <s v="0.0"/>
    <s v="0.0"/>
    <s v="0.0"/>
    <s v="0.0"/>
    <s v="0.0"/>
    <s v="FAMNXL2600000050"/>
    <s v="2025-07-19 00:00:00.0"/>
    <s v="112.0"/>
    <s v="160017"/>
    <s v="Chandigarh"/>
    <s v="160017"/>
    <s v="160017 – Chandigarh"/>
    <x v="7"/>
    <x v="6"/>
    <s v="187.0"/>
    <s v="false"/>
    <s v="0.1"/>
    <s v="0.112"/>
    <s v="NA"/>
    <s v="NA"/>
    <s v="NA"/>
    <s v="Harsimran Kaur"/>
    <s v="NA"/>
  </r>
  <r>
    <s v="08FHGPP4088D1Z1"/>
    <s v="OD434909995125913100"/>
    <s v="434909995125913100"/>
    <s v="&quot;&quot;&quot;Atomic Habit And Ikigai And Thinking Fast And Slow Paperback, james clear, daniel kahneman, hector gracia and francesc miralles&quot;&quot;&quot;"/>
    <s v="&quot;&quot;&quot;RBKHD5QMCWJ679DH&quot;&quot;&quot;"/>
    <s v="&quot;&quot;&quot;SKU:A-T-I&quot;&quot;&quot;"/>
    <x v="6"/>
    <s v="49011010"/>
    <s v="Sale"/>
    <x v="0"/>
    <s v="Postpaid"/>
    <s v="NON_FBF"/>
    <s v="2025-07-11 00:00:00"/>
    <x v="1"/>
    <s v="2025-07-11 00:00:00"/>
    <s v="1.0"/>
    <s v="IN-RJ"/>
    <s v="NA"/>
    <s v="259.0"/>
    <s v="-32.0"/>
    <s v="0.0"/>
    <s v="-32.0"/>
    <s v="227.0"/>
    <s v="0.0"/>
    <s v="227.0"/>
    <s v="0"/>
    <s v="227.0"/>
    <s v="0.0"/>
    <s v="0.0"/>
    <s v="0.0"/>
    <s v="0.0"/>
    <s v="0.0"/>
    <s v="0.0"/>
    <s v="0.0"/>
    <s v="0.0"/>
    <s v="0.0"/>
    <s v="0.0"/>
    <s v="0.0"/>
    <s v="0.0"/>
    <s v="0.0"/>
    <s v="0.0"/>
    <s v="0.0"/>
    <s v="0.0"/>
    <s v="0.0"/>
    <s v="0.0"/>
    <s v="0.0"/>
    <s v="FAMNXL2600000041"/>
    <s v="2025-07-12 00:00:00.0"/>
    <s v="227.0"/>
    <s v="831005"/>
    <s v="Jharkhand"/>
    <s v="831005"/>
    <s v="831005 – Ranchi"/>
    <x v="8"/>
    <x v="7"/>
    <s v="NA"/>
    <s v="false"/>
    <s v="0.1"/>
    <s v="0.227"/>
    <s v="NA"/>
    <s v="NA"/>
    <s v="NA"/>
    <s v="Swati Lal Prasad"/>
    <s v="NA"/>
  </r>
  <r>
    <s v="08FHGPP4088D1Z1"/>
    <s v="OD334950317413598100"/>
    <s v="334950317413598100"/>
    <s v="&quot;&quot;&quot;The Alchemist English, Paperback, Paulo Coelho&quot;&quot;&quot;"/>
    <s v="&quot;&quot;&quot;9781512761689&quot;&quot;&quot;"/>
    <s v="&quot;&quot;&quot;SKU:ALCHEMIST01&quot;&quot;&quot;"/>
    <x v="1"/>
    <s v="49011010"/>
    <s v="Sale"/>
    <x v="0"/>
    <s v="Postpaid"/>
    <s v="NON_FBF"/>
    <s v="2025-07-16 00:00:00"/>
    <x v="1"/>
    <s v="2025-07-16 00:00:00"/>
    <s v="1.0"/>
    <s v="IN-RJ"/>
    <s v="NA"/>
    <s v="83.0"/>
    <s v="-14.0"/>
    <s v="0.0"/>
    <s v="-14.0"/>
    <s v="69.0"/>
    <s v="0.0"/>
    <s v="69.0"/>
    <s v="0"/>
    <s v="69.0"/>
    <s v="0.0"/>
    <s v="0.0"/>
    <s v="0.0"/>
    <s v="0.0"/>
    <s v="0.0"/>
    <s v="0.0"/>
    <s v="0.0"/>
    <s v="0.0"/>
    <s v="0.0"/>
    <s v="0.0"/>
    <s v="0.0"/>
    <s v="0.0"/>
    <s v="0.0"/>
    <s v="0.0"/>
    <s v="0.0"/>
    <s v="0.0"/>
    <s v="0.0"/>
    <s v="0.0"/>
    <s v="0.0"/>
    <s v="FAMNXL2600000047"/>
    <s v="2025-07-16 00:00:00.0"/>
    <s v="69.0"/>
    <s v="788831"/>
    <s v="Assam"/>
    <s v="788831"/>
    <s v="788831 – Silchar"/>
    <x v="9"/>
    <x v="5"/>
    <s v="205.0"/>
    <s v="false"/>
    <s v="0.1"/>
    <s v="0.069"/>
    <s v="NA"/>
    <s v="NA"/>
    <s v="NA"/>
    <s v="Soniya"/>
    <s v="NA"/>
  </r>
  <r>
    <s v="08FHGPP4088D1Z1"/>
    <s v="OD334915075155845100"/>
    <s v="334915075155845100"/>
    <s v="&quot;&quot;&quot;The Magic Of Thinking Big Paperback, THEMAGICTHINKBIG-1&quot;&quot;&quot;"/>
    <s v="&quot;&quot;&quot;RBKGTKP5QTSGHKWC&quot;&quot;&quot;"/>
    <s v="&quot;&quot;&quot;SKU:THEMAGICTHINKBIG-1&quot;&quot;&quot;"/>
    <x v="7"/>
    <s v="49011010"/>
    <s v="Sale"/>
    <x v="0"/>
    <s v="Postpaid"/>
    <s v="NON_FBF"/>
    <s v="2025-07-12 00:00:00"/>
    <x v="1"/>
    <s v="2025-07-12 00:00:00"/>
    <s v="1.0"/>
    <s v="IN-RJ"/>
    <s v="NA"/>
    <s v="158.0"/>
    <s v="0.0"/>
    <s v="0.0"/>
    <s v="0.0"/>
    <s v="158.0"/>
    <s v="0.0"/>
    <s v="158.0"/>
    <s v="0"/>
    <s v="158.0"/>
    <s v="0.0"/>
    <s v="0.0"/>
    <s v="0.0"/>
    <s v="0.0"/>
    <s v="0.0"/>
    <s v="0.0"/>
    <s v="0.0"/>
    <s v="0.0"/>
    <s v="0.0"/>
    <s v="0.0"/>
    <s v="0.0"/>
    <s v="0.0"/>
    <s v="0.0"/>
    <s v="0.0"/>
    <s v="0.0"/>
    <s v="0.0"/>
    <s v="0.0"/>
    <s v="0.0"/>
    <s v="0.0"/>
    <s v="FAMNXL2600000043"/>
    <s v="2025-07-12 00:00:00.0"/>
    <s v="158.0"/>
    <s v="441601"/>
    <s v="Maharashtra"/>
    <s v="441601"/>
    <s v="441601 – Nagpur"/>
    <x v="10"/>
    <x v="3"/>
    <s v="299.0"/>
    <s v="false"/>
    <s v="0.1"/>
    <s v="0.158"/>
    <s v="NA"/>
    <s v="NA"/>
    <s v="NA"/>
    <s v="Vansh Dhurve"/>
    <s v="NA"/>
  </r>
  <r>
    <s v="08FHGPP4088D1Z1"/>
    <s v="OD434940335961563100"/>
    <s v="434940335961563100"/>
    <s v="&quot;&quot;&quot;The Intelligent Investor - Hindi Paperback, Hindi, Graham Benjamin&quot;&quot;&quot;"/>
    <s v="&quot;&quot;&quot;RBKHDYEYJDFHEWHJ&quot;&quot;&quot;"/>
    <s v="&quot;&quot;&quot;SKU:The-Intelligent-Investor&quot;&quot;&quot;"/>
    <x v="8"/>
    <s v="49011010"/>
    <s v="Sale"/>
    <x v="0"/>
    <s v="Prepaid"/>
    <s v="NON_FBF"/>
    <s v="2025-07-15 00:00:00"/>
    <x v="1"/>
    <s v="2025-07-15 00:00:00"/>
    <s v="1.0"/>
    <s v="IN-RJ"/>
    <s v="NA"/>
    <s v="127.0"/>
    <s v="0.0"/>
    <s v="0.0"/>
    <s v="0.0"/>
    <s v="127.0"/>
    <s v="10.0"/>
    <s v="137.0"/>
    <s v="0"/>
    <s v="137.0"/>
    <s v="0.0"/>
    <s v="0.0"/>
    <s v="0.0"/>
    <s v="0.0"/>
    <s v="0.0"/>
    <s v="0.0"/>
    <s v="0.0"/>
    <s v="0.0"/>
    <s v="0.0"/>
    <s v="0.0"/>
    <s v="0.0"/>
    <s v="0.0"/>
    <s v="0.0"/>
    <s v="0.0"/>
    <s v="0.0"/>
    <s v="0.0"/>
    <s v="0.0"/>
    <s v="0.0"/>
    <s v="0.0"/>
    <s v="FAMNXL2600000045"/>
    <s v="2025-07-15 00:00:00.0"/>
    <s v="137.0"/>
    <s v="190012"/>
    <s v="Jammu &amp; Kashmir"/>
    <s v="190012"/>
    <s v="190012 – Jammu"/>
    <x v="11"/>
    <x v="8"/>
    <s v="NA"/>
    <s v="false"/>
    <s v="0.1"/>
    <s v="0.137"/>
    <s v="NA"/>
    <s v="NA"/>
    <s v="NA"/>
    <s v="BIKASH"/>
    <s v="NA"/>
  </r>
  <r>
    <s v="08FHGPP4088D1Z1"/>
    <s v="OD334950373047905100"/>
    <s v="334950373047905100"/>
    <s v="&quot;&quot;&quot;Courage To Be Disliked | The Miracle Morning | Atomic Habits | Deep Work 2 Book Combo Paperback, JMD BOOKS&quot;&quot;&quot;"/>
    <s v="&quot;&quot;&quot;9787519296889&quot;&quot;&quot;"/>
    <s v="&quot;&quot;&quot;SKU:MIRACLE-COURAGE-ATOMIC-DEEP&quot;&quot;&quot;"/>
    <x v="9"/>
    <s v="49011010"/>
    <s v="Sale"/>
    <x v="0"/>
    <s v="Postpaid"/>
    <s v="NON_FBF"/>
    <s v="2025-07-16 00:00:00"/>
    <x v="1"/>
    <s v="2025-07-16 00:00:00"/>
    <s v="1.0"/>
    <s v="IN-RJ"/>
    <s v="NA"/>
    <s v="358.0"/>
    <s v="-40.0"/>
    <s v="0.0"/>
    <s v="-40.0"/>
    <s v="318.0"/>
    <s v="0.0"/>
    <s v="318.0"/>
    <s v="0"/>
    <s v="318.0"/>
    <s v="0.0"/>
    <s v="0.0"/>
    <s v="0.0"/>
    <s v="0.0"/>
    <s v="0.0"/>
    <s v="0.0"/>
    <s v="0.0"/>
    <s v="0.0"/>
    <s v="0.0"/>
    <s v="0.0"/>
    <s v="0.0"/>
    <s v="0.0"/>
    <s v="0.0"/>
    <s v="0.0"/>
    <s v="0.0"/>
    <s v="0.0"/>
    <s v="0.0"/>
    <s v="0.0"/>
    <s v="0.0"/>
    <s v="FAMNXL2600000046"/>
    <s v="2025-07-16 00:00:00.0"/>
    <s v="318.0"/>
    <s v="700038"/>
    <s v="West Bengal"/>
    <s v="700038"/>
    <s v="700038 – Kolkata"/>
    <x v="12"/>
    <x v="9"/>
    <s v="499.0"/>
    <s v="false"/>
    <s v="0.1"/>
    <s v="0.318"/>
    <s v="NA"/>
    <s v="NA"/>
    <s v="NA"/>
    <s v="UTSAV GHOSH"/>
    <s v="NA"/>
  </r>
  <r>
    <s v="08FHGPP4088D1Z1"/>
    <s v="OD434984856134862100"/>
    <s v="434984856134862100"/>
    <s v="&quot;&quot;&quot;The Alchemist English, Paperback, Paulo Coelho&quot;&quot;&quot;"/>
    <s v="&quot;&quot;&quot;9781512761689&quot;&quot;&quot;"/>
    <s v="&quot;&quot;&quot;SKU:ALCHEMIST01&quot;&quot;&quot;"/>
    <x v="1"/>
    <s v="49011010"/>
    <s v="Return"/>
    <x v="2"/>
    <s v="Postpaid"/>
    <s v="NON_FBF"/>
    <s v="2025-07-20 00:00:00"/>
    <x v="1"/>
    <s v="2025-07-20 00:00:00"/>
    <s v="1.0"/>
    <s v="IN-RJ"/>
    <s v="NA"/>
    <s v="83.0"/>
    <s v="-10.0"/>
    <s v="0.0"/>
    <s v="-10.0"/>
    <s v="73.0"/>
    <s v="0.0"/>
    <s v="73.0"/>
    <s v="0"/>
    <s v="-73.0"/>
    <s v="0.0"/>
    <s v="0.0"/>
    <s v="0.0"/>
    <s v="0.0"/>
    <s v="0.0"/>
    <s v="0.0"/>
    <s v="0.0"/>
    <s v="0.0"/>
    <s v="0.0"/>
    <s v="0.0"/>
    <s v="0.0"/>
    <s v="0.0"/>
    <s v="0.0"/>
    <s v="0.0"/>
    <s v="0.0"/>
    <s v="0.0"/>
    <s v="0.0"/>
    <s v="0.0"/>
    <s v="0.0"/>
    <s v="RAKC4V2600000007"/>
    <s v="2025-07-25 00:00:00.0"/>
    <s v="-73.0"/>
    <s v="581421"/>
    <s v="Karnataka"/>
    <s v="581421"/>
    <s v="581421 – Dharwad"/>
    <x v="13"/>
    <x v="0"/>
    <s v="205.0"/>
    <s v="false"/>
    <s v="0.1"/>
    <s v="0.073"/>
    <s v="NA"/>
    <s v="NA"/>
    <s v="NA"/>
    <s v="Adarsh"/>
    <s v="NA"/>
  </r>
  <r>
    <s v="08FHGPP4088D1Z1"/>
    <s v="OD334906756869876100"/>
    <s v="334906756869876100"/>
    <s v="&quot;&quot;&quot;Thinking, Fast And Slow Paperback, INNOX&quot;&quot;&quot;"/>
    <s v="&quot;&quot;&quot;RBKHDH8FTXMAAGFG&quot;&quot;&quot;"/>
    <s v="&quot;&quot;&quot;SKU:T-F-A-S01&quot;&quot;&quot;"/>
    <x v="4"/>
    <s v="49011010"/>
    <s v="Sale"/>
    <x v="0"/>
    <s v="Postpaid"/>
    <s v="NON_FBF"/>
    <s v="2025-07-11 00:00:00"/>
    <x v="1"/>
    <s v="2025-07-11 00:00:00"/>
    <s v="1.0"/>
    <s v="IN-RJ"/>
    <s v="NA"/>
    <s v="137.0"/>
    <s v="0.0"/>
    <s v="0.0"/>
    <s v="0.0"/>
    <s v="137.0"/>
    <s v="0.0"/>
    <s v="137.0"/>
    <s v="0"/>
    <s v="137.0"/>
    <s v="0.0"/>
    <s v="0.0"/>
    <s v="0.0"/>
    <s v="0.0"/>
    <s v="0.0"/>
    <s v="0.0"/>
    <s v="0.0"/>
    <s v="0.0"/>
    <s v="0.0"/>
    <s v="0.0"/>
    <s v="0.0"/>
    <s v="0.0"/>
    <s v="0.0"/>
    <s v="0.0"/>
    <s v="0.0"/>
    <s v="0.0"/>
    <s v="0.0"/>
    <s v="0.0"/>
    <s v="0.0"/>
    <s v="FAMNXL2600000039"/>
    <s v="2025-07-11 00:00:00.0"/>
    <s v="137.0"/>
    <s v="783384"/>
    <s v="Assam"/>
    <s v="783384"/>
    <s v="783384 – Guwahati"/>
    <x v="6"/>
    <x v="5"/>
    <s v="NA"/>
    <s v="false"/>
    <s v="0.1"/>
    <s v="0.137"/>
    <s v="NA"/>
    <s v="NA"/>
    <s v="NA"/>
    <s v="Himujit Barkakati"/>
    <s v="NA"/>
  </r>
  <r>
    <s v="08FHGPP4088D1Z1"/>
    <s v="OD334909261528818100"/>
    <s v="334909261528818100"/>
    <s v="&quot;&quot;&quot;Man's Search for Meaning + Thinking, Fast and Slow 2 Book Combo Paperback, JMD BOOKS&quot;&quot;&quot;"/>
    <s v="&quot;&quot;&quot;9780500472101&quot;&quot;&quot;"/>
    <s v="&quot;&quot;&quot;SKU:T-M&quot;&quot;&quot;"/>
    <x v="10"/>
    <s v="49011010"/>
    <s v="Sale"/>
    <x v="0"/>
    <s v="Postpaid"/>
    <s v="NON_FBF"/>
    <s v="2025-07-11 00:00:00"/>
    <x v="1"/>
    <s v="2025-07-11 00:00:00"/>
    <s v="1.0"/>
    <s v="IN-RJ"/>
    <s v="NA"/>
    <s v="233.0"/>
    <s v="-28.0"/>
    <s v="0.0"/>
    <s v="-28.0"/>
    <s v="205.0"/>
    <s v="0.0"/>
    <s v="205.0"/>
    <s v="0"/>
    <s v="205.0"/>
    <s v="0.0"/>
    <s v="0.0"/>
    <s v="0.0"/>
    <s v="0.0"/>
    <s v="0.0"/>
    <s v="0.0"/>
    <s v="0.0"/>
    <s v="0.0"/>
    <s v="0.0"/>
    <s v="0.0"/>
    <s v="0.0"/>
    <s v="0.0"/>
    <s v="0.0"/>
    <s v="0.0"/>
    <s v="0.0"/>
    <s v="0.0"/>
    <s v="0.0"/>
    <s v="0.0"/>
    <s v="0.0"/>
    <s v="FAMNXL2600000042"/>
    <s v="2025-07-12 00:00:00.0"/>
    <s v="205.0"/>
    <s v="413104"/>
    <s v="Maharashtra"/>
    <s v="413104"/>
    <s v="413104 – Solapur"/>
    <x v="5"/>
    <x v="3"/>
    <s v="NA"/>
    <s v="false"/>
    <s v="0.1"/>
    <s v="0.205"/>
    <s v="NA"/>
    <s v="NA"/>
    <s v="NA"/>
    <s v="Yash Namdev Kamble"/>
    <s v="NA"/>
  </r>
  <r>
    <s v="08FHGPP4088D1Z1"/>
    <s v="OD334906990067428100"/>
    <s v="334906990067428101"/>
    <s v="&quot;&quot;&quot;Eat that Frog! + Do epic Shit 2 Book Combo Paperback, JMD BOOKS&quot;&quot;&quot;"/>
    <s v="&quot;&quot;&quot;9782008104768&quot;&quot;&quot;"/>
    <s v="&quot;&quot;&quot;SKU:DO-EPIC-FROG&quot;&quot;&quot;"/>
    <x v="11"/>
    <s v="49011010"/>
    <s v="Sale"/>
    <x v="0"/>
    <s v="Postpaid"/>
    <s v="NON_FBF"/>
    <s v="2025-07-11 00:00:00"/>
    <x v="1"/>
    <s v="2025-07-11 00:00:00"/>
    <s v="1.0"/>
    <s v="IN-RJ"/>
    <s v="NA"/>
    <s v="234.0"/>
    <s v="-28.0"/>
    <s v="0.0"/>
    <s v="-28.0"/>
    <s v="206.0"/>
    <s v="0.0"/>
    <s v="206.0"/>
    <s v="0"/>
    <s v="206.0"/>
    <s v="0.0"/>
    <s v="0.0"/>
    <s v="0.0"/>
    <s v="0.0"/>
    <s v="0.0"/>
    <s v="0.0"/>
    <s v="0.0"/>
    <s v="0.0"/>
    <s v="0.0"/>
    <s v="0.0"/>
    <s v="0.0"/>
    <s v="0.0"/>
    <s v="0.0"/>
    <s v="0.0"/>
    <s v="0.0"/>
    <s v="0.0"/>
    <s v="0.0"/>
    <s v="0.0"/>
    <s v="0.0"/>
    <s v="FAMNXL2600000038"/>
    <s v="2025-07-11 00:00:00.0"/>
    <s v="206.0"/>
    <s v="275301"/>
    <s v="Uttar Pradesh"/>
    <s v="275301"/>
    <s v="275301 – Agra"/>
    <x v="14"/>
    <x v="10"/>
    <s v="NA"/>
    <s v="false"/>
    <s v="0.1"/>
    <s v="0.206"/>
    <s v="NA"/>
    <s v="NA"/>
    <s v="NA"/>
    <s v="Manohar Chauhan"/>
    <s v="NA"/>
  </r>
  <r>
    <s v="08FHGPP4088D1Z1"/>
    <s v="OD434834156869603100"/>
    <s v="434834156869603100"/>
    <s v="&quot;&quot;&quot;THE Can't Hurt Me : Master Your Mind And Defy The Odds - Clean Edition Paperback, David Goggins&quot;&quot;&quot;"/>
    <s v="&quot;&quot;&quot;RBKHCZS2BY2JKZWG&quot;&quot;&quot;"/>
    <s v="&quot;&quot;&quot;SKU:CANT02&quot;&quot;&quot;"/>
    <x v="3"/>
    <s v="49011010"/>
    <s v="Return"/>
    <x v="2"/>
    <s v="Postpaid"/>
    <s v="NON_FBF"/>
    <s v="2025-07-03 00:00:00"/>
    <x v="1"/>
    <s v="2025-07-03 00:00:00"/>
    <s v="1.0"/>
    <s v="IN-RJ"/>
    <s v="NA"/>
    <s v="128.0"/>
    <s v="0.0"/>
    <s v="0.0"/>
    <s v="0.0"/>
    <s v="128.0"/>
    <s v="0.0"/>
    <s v="128.0"/>
    <s v="0"/>
    <s v="-128.0"/>
    <s v="0.0"/>
    <s v="0.0"/>
    <s v="0.0"/>
    <s v="0.0"/>
    <s v="0.0"/>
    <s v="0.0"/>
    <s v="0.0"/>
    <s v="0.0"/>
    <s v="0.0"/>
    <s v="0.0"/>
    <s v="0.0"/>
    <s v="0.0"/>
    <s v="0.0"/>
    <s v="0.0"/>
    <s v="0.0"/>
    <s v="0.0"/>
    <s v="0.0"/>
    <s v="0.0"/>
    <s v="0.0"/>
    <s v="RAKC4V2600000004"/>
    <s v="2025-07-14 00:00:00.0"/>
    <s v="-128.0"/>
    <s v="416001"/>
    <s v="Maharashtra"/>
    <s v="416001"/>
    <s v="416001 – Ratnagiri"/>
    <x v="15"/>
    <x v="3"/>
    <s v="NA"/>
    <s v="false"/>
    <s v="0.1"/>
    <s v="0.128"/>
    <s v="NA"/>
    <s v="NA"/>
    <s v="NA"/>
    <s v="Devraj Bamnekar"/>
    <s v="NA"/>
  </r>
  <r>
    <s v="08FHGPP4088D1Z1"/>
    <s v="OD334907057242768100"/>
    <s v="334907057242768100"/>
    <s v="&quot;&quot;&quot;The Intelligent Investor - Hindi Paperback, Hindi, Graham Benjamin&quot;&quot;&quot;"/>
    <s v="&quot;&quot;&quot;RBKHDYEYJDFHEWHJ&quot;&quot;&quot;"/>
    <s v="&quot;&quot;&quot;SKU:The-Intelligent-Investor&quot;&quot;&quot;"/>
    <x v="8"/>
    <s v="49011010"/>
    <s v="Sale"/>
    <x v="0"/>
    <s v="Postpaid"/>
    <s v="NON_FBF"/>
    <s v="2025-07-11 00:00:00"/>
    <x v="1"/>
    <s v="2025-07-11 00:00:00"/>
    <s v="1.0"/>
    <s v="IN-RJ"/>
    <s v="NA"/>
    <s v="127.0"/>
    <s v="0.0"/>
    <s v="0.0"/>
    <s v="0.0"/>
    <s v="127.0"/>
    <s v="10.0"/>
    <s v="137.0"/>
    <s v="0"/>
    <s v="137.0"/>
    <s v="0.0"/>
    <s v="0.0"/>
    <s v="0.0"/>
    <s v="0.0"/>
    <s v="0.0"/>
    <s v="0.0"/>
    <s v="0.0"/>
    <s v="0.0"/>
    <s v="0.0"/>
    <s v="0.0"/>
    <s v="0.0"/>
    <s v="0.0"/>
    <s v="0.0"/>
    <s v="0.0"/>
    <s v="0.0"/>
    <s v="0.0"/>
    <s v="0.0"/>
    <s v="0.0"/>
    <s v="0.0"/>
    <s v="FAMNXL2600000040"/>
    <s v="2025-07-11 00:00:00.0"/>
    <s v="137.0"/>
    <s v="360006"/>
    <s v="Gujarat"/>
    <s v="360006"/>
    <s v="360006 – Rajkot"/>
    <x v="16"/>
    <x v="11"/>
    <s v="NA"/>
    <s v="false"/>
    <s v="0.1"/>
    <s v="0.137"/>
    <s v="NA"/>
    <s v="NA"/>
    <s v="NA"/>
    <s v="Jignesh Vaghela"/>
    <s v="NA"/>
  </r>
  <r>
    <s v="08FHGPP4088D1Z1"/>
    <s v="OD434984856134862100"/>
    <s v="434984856134862100"/>
    <s v="&quot;&quot;&quot;The Alchemist English, Paperback, Paulo Coelho&quot;&quot;&quot;"/>
    <s v="&quot;&quot;&quot;9781512761689&quot;&quot;&quot;"/>
    <s v="&quot;&quot;&quot;SKU:ALCHEMIST01&quot;&quot;&quot;"/>
    <x v="1"/>
    <s v="49011010"/>
    <s v="Sale"/>
    <x v="0"/>
    <s v="Postpaid"/>
    <s v="NON_FBF"/>
    <s v="2025-07-20 00:00:00"/>
    <x v="1"/>
    <s v="2025-07-20 00:00:00"/>
    <s v="1.0"/>
    <s v="IN-RJ"/>
    <s v="NA"/>
    <s v="83.0"/>
    <s v="-10.0"/>
    <s v="0.0"/>
    <s v="-10.0"/>
    <s v="73.0"/>
    <s v="0.0"/>
    <s v="73.0"/>
    <s v="0"/>
    <s v="73.0"/>
    <s v="0.0"/>
    <s v="0.0"/>
    <s v="0.0"/>
    <s v="0.0"/>
    <s v="0.0"/>
    <s v="0.0"/>
    <s v="0.0"/>
    <s v="0.0"/>
    <s v="0.0"/>
    <s v="0.0"/>
    <s v="0.0"/>
    <s v="0.0"/>
    <s v="0.0"/>
    <s v="0.0"/>
    <s v="0.0"/>
    <s v="0.0"/>
    <s v="0.0"/>
    <s v="0.0"/>
    <s v="0.0"/>
    <s v="FAMNXL2600000052"/>
    <s v="2025-07-20 00:00:00.0"/>
    <s v="73.0"/>
    <s v="581421"/>
    <s v="Karnataka"/>
    <s v="581421"/>
    <s v="581421 – Dharwad"/>
    <x v="13"/>
    <x v="0"/>
    <s v="205.0"/>
    <s v="false"/>
    <s v="0.1"/>
    <s v="0.073"/>
    <s v="NA"/>
    <s v="NA"/>
    <s v="NA"/>
    <s v="Adarsh"/>
    <s v="NA"/>
  </r>
  <r>
    <s v="08FHGPP4088D1Z1"/>
    <s v="OD434959563209492100"/>
    <s v="434959563209492100"/>
    <s v="&quot;&quot;&quot;The Psychology of Money Paperback, Morgan Housel&quot;&quot;&quot;"/>
    <s v="&quot;&quot;&quot;9781804091043&quot;&quot;&quot;"/>
    <s v="&quot;&quot;&quot;SKU:PSYCH01&quot;&quot;&quot;"/>
    <x v="2"/>
    <s v="49011010"/>
    <s v="Sale"/>
    <x v="0"/>
    <s v="Prepaid"/>
    <s v="NON_FBF"/>
    <s v="2025-07-17 00:00:00"/>
    <x v="1"/>
    <s v="2025-07-17 00:00:00"/>
    <s v="1.0"/>
    <s v="IN-RJ"/>
    <s v="NA"/>
    <s v="87.0"/>
    <s v="-10.0"/>
    <s v="0.0"/>
    <s v="-10.0"/>
    <s v="77.0"/>
    <s v="0.0"/>
    <s v="77.0"/>
    <s v="0"/>
    <s v="77.0"/>
    <s v="0.0"/>
    <s v="0.0"/>
    <s v="0.0"/>
    <s v="0.0"/>
    <s v="0.0"/>
    <s v="0.0"/>
    <s v="0.0"/>
    <s v="0.0"/>
    <s v="0.0"/>
    <s v="0.0"/>
    <s v="0.0"/>
    <s v="0.0"/>
    <s v="0.0"/>
    <s v="0.0"/>
    <s v="0.0"/>
    <s v="0.0"/>
    <s v="0.0"/>
    <s v="0.0"/>
    <s v="0.0"/>
    <s v="FAMNXL2600000048"/>
    <s v="2025-07-17 00:00:00.0"/>
    <s v="77.0"/>
    <s v="781006"/>
    <s v="Assam"/>
    <s v="781006"/>
    <s v="781006 – Guwahati"/>
    <x v="6"/>
    <x v="5"/>
    <s v="NA"/>
    <s v="false"/>
    <s v="0.1"/>
    <s v="0.077"/>
    <s v="NA"/>
    <s v="NA"/>
    <s v="NA"/>
    <s v="Namrata Sharma"/>
    <s v="NA"/>
  </r>
  <r>
    <s v="08FHGPP4088D1Z1"/>
    <s v="OD434833245246944100"/>
    <s v="434833245246944102"/>
    <s v="&quot;&quot;&quot;The 7 Habits Of Highly Effective People Paperback, stephen r. convey&quot;&quot;&quot;"/>
    <s v="&quot;&quot;&quot;RBKGQP4FVXUN4VHY&quot;&quot;&quot;"/>
    <s v="&quot;&quot;&quot;SKU:THE7HABITS12&quot;&quot;&quot;"/>
    <x v="12"/>
    <s v="49011010"/>
    <s v="Sale"/>
    <x v="0"/>
    <s v="Prepaid"/>
    <s v="NON_FBF"/>
    <s v="2025-07-02 00:00:00"/>
    <x v="1"/>
    <s v="2025-07-02 00:00:00"/>
    <s v="1.0"/>
    <s v="IN-RJ"/>
    <s v="NA"/>
    <s v="138.0"/>
    <s v="0.0"/>
    <s v="0.0"/>
    <s v="0.0"/>
    <s v="138.0"/>
    <s v="0.0"/>
    <s v="138.0"/>
    <s v="0"/>
    <s v="138.0"/>
    <s v="0.0"/>
    <s v="0.0"/>
    <s v="0.0"/>
    <s v="0.0"/>
    <s v="0.0"/>
    <s v="0.0"/>
    <s v="0.0"/>
    <s v="0.0"/>
    <s v="0.0"/>
    <s v="0.0"/>
    <s v="0.0"/>
    <s v="0.0"/>
    <s v="0.0"/>
    <s v="0.0"/>
    <s v="0.0"/>
    <s v="0.0"/>
    <s v="0.0"/>
    <s v="0.0"/>
    <s v="0.0"/>
    <s v="FAMNXL2600000011"/>
    <s v="2025-07-03 00:00:00.0"/>
    <s v="138.0"/>
    <s v="282007"/>
    <s v="Uttar Pradesh"/>
    <s v="282007"/>
    <s v="282007 – Mathura"/>
    <x v="17"/>
    <x v="10"/>
    <s v="289.0"/>
    <s v="false"/>
    <s v="0.1"/>
    <s v="0.138"/>
    <s v="NA"/>
    <s v="NA"/>
    <s v="NA"/>
    <s v="Shobha"/>
    <s v="NA"/>
  </r>
  <r>
    <s v="08FHGPP4088D1Z1"/>
    <s v="OD434833245246944100"/>
    <s v="434833245246944102"/>
    <s v="&quot;&quot;&quot;The 7 Habits Of Highly Effective People Paperback, stephen r. convey&quot;&quot;&quot;"/>
    <s v="&quot;&quot;&quot;RBKGQP4FVXUN4VHY&quot;&quot;&quot;"/>
    <s v="&quot;&quot;&quot;SKU:THE7HABITS12&quot;&quot;&quot;"/>
    <x v="12"/>
    <s v="49011010"/>
    <s v="Return"/>
    <x v="2"/>
    <s v="Prepaid"/>
    <s v="NON_FBF"/>
    <s v="2025-07-02 00:00:00"/>
    <x v="1"/>
    <s v="2025-07-02 00:00:00"/>
    <s v="1.0"/>
    <s v="IN-RJ"/>
    <s v="NA"/>
    <s v="138.0"/>
    <s v="0.0"/>
    <s v="0.0"/>
    <s v="0.0"/>
    <s v="138.0"/>
    <s v="0.0"/>
    <s v="138.0"/>
    <s v="0"/>
    <s v="-138.0"/>
    <s v="0.0"/>
    <s v="0.0"/>
    <s v="0.0"/>
    <s v="0.0"/>
    <s v="0.0"/>
    <s v="0.0"/>
    <s v="0.0"/>
    <s v="0.0"/>
    <s v="0.0"/>
    <s v="0.0"/>
    <s v="0.0"/>
    <s v="0.0"/>
    <s v="0.0"/>
    <s v="0.0"/>
    <s v="0.0"/>
    <s v="0.0"/>
    <s v="0.0"/>
    <s v="0.0"/>
    <s v="0.0"/>
    <s v="RAKC4V2600000001"/>
    <s v="2025-07-03 00:00:00.0"/>
    <s v="-138.0"/>
    <s v="282007"/>
    <s v="Uttar Pradesh"/>
    <s v="282007"/>
    <s v="282007 – Mathura"/>
    <x v="17"/>
    <x v="10"/>
    <s v="289.0"/>
    <s v="false"/>
    <s v="0.1"/>
    <s v="0.138"/>
    <s v="NA"/>
    <s v="NA"/>
    <s v="NA"/>
    <s v="Shobha"/>
    <s v="NA"/>
  </r>
  <r>
    <s v="08FHGPP4088D1Z1"/>
    <s v="OD435014427668818100"/>
    <s v="435014427668818100"/>
    <s v="&quot;&quot;&quot;Think And Grow Rich By Napoleon Hill-New Revised &amp; Updated Book Paperback, Napoleon Hill&quot;&quot;&quot;"/>
    <s v="&quot;&quot;&quot;RBKGHGEWFEXWJT3D&quot;&quot;&quot;"/>
    <s v="&quot;&quot;&quot;SKU:THANGRORICH&quot;&quot;&quot;"/>
    <x v="13"/>
    <s v="49011010"/>
    <s v="Sale"/>
    <x v="0"/>
    <s v="Postpaid"/>
    <s v="NON_FBF"/>
    <s v="2025-07-23 00:00:00"/>
    <x v="1"/>
    <s v="2025-07-23 00:00:00"/>
    <s v="1.0"/>
    <s v="IN-RJ"/>
    <s v="NA"/>
    <s v="126.0"/>
    <s v="0.0"/>
    <s v="0.0"/>
    <s v="0.0"/>
    <s v="126.0"/>
    <s v="0.0"/>
    <s v="126.0"/>
    <s v="0"/>
    <s v="126.0"/>
    <s v="0.0"/>
    <s v="0.0"/>
    <s v="0.0"/>
    <s v="0.0"/>
    <s v="0.0"/>
    <s v="0.0"/>
    <s v="0.0"/>
    <s v="0.0"/>
    <s v="0.0"/>
    <s v="0.0"/>
    <s v="0.0"/>
    <s v="0.0"/>
    <s v="0.0"/>
    <s v="0.0"/>
    <s v="0.0"/>
    <s v="0.0"/>
    <s v="0.0"/>
    <s v="0.0"/>
    <s v="0.0"/>
    <s v="FAMNXL2600000055"/>
    <s v="2025-07-24 00:00:00.0"/>
    <s v="126.0"/>
    <s v="391760"/>
    <s v="Gujarat"/>
    <s v="391760"/>
    <s v="391760 – Vadodara"/>
    <x v="18"/>
    <x v="11"/>
    <s v="249.0"/>
    <s v="false"/>
    <s v="0.1"/>
    <s v="0.126"/>
    <s v="NA"/>
    <s v="NA"/>
    <s v="NA"/>
    <s v="Satyendra Verma"/>
    <s v="NA"/>
  </r>
  <r>
    <s v="08FHGPP4088D1Z1"/>
    <s v="OD334831540289523100"/>
    <s v="334831540289523100"/>
    <s v="&quot;&quot;&quot;Who Will Cry When You Die + Life Amazing Secrets + Think Like A Monk 3 Book Combo Paperback, JMD BOOKS&quot;&quot;&quot;"/>
    <s v="&quot;&quot;&quot;9781477480236&quot;&quot;&quot;"/>
    <s v="&quot;&quot;&quot;SKU:WHO-MONK-LIFE01&quot;&quot;&quot;"/>
    <x v="14"/>
    <s v="49011010"/>
    <s v="Sale"/>
    <x v="0"/>
    <s v="Prepaid"/>
    <s v="NON_FBF"/>
    <s v="2025-07-02 00:00:00"/>
    <x v="1"/>
    <s v="2025-07-02 00:00:00"/>
    <s v="1.0"/>
    <s v="IN-RJ"/>
    <s v="NA"/>
    <s v="314.0"/>
    <s v="0.0"/>
    <s v="0.0"/>
    <s v="0.0"/>
    <s v="314.0"/>
    <s v="0.0"/>
    <s v="314.0"/>
    <s v="0"/>
    <s v="314.0"/>
    <s v="0.0"/>
    <s v="0.0"/>
    <s v="0.0"/>
    <s v="0.0"/>
    <s v="0.0"/>
    <s v="0.0"/>
    <s v="0.0"/>
    <s v="0.0"/>
    <s v="0.0"/>
    <s v="0.0"/>
    <s v="0.0"/>
    <s v="0.0"/>
    <s v="0.0"/>
    <s v="0.0"/>
    <s v="0.0"/>
    <s v="0.0"/>
    <s v="0.0"/>
    <s v="0.0"/>
    <s v="0.0"/>
    <s v="FAMNXL2600000009"/>
    <s v="2025-07-02 00:00:00.0"/>
    <s v="314.0"/>
    <s v="688524"/>
    <s v="Kerala"/>
    <s v="688524"/>
    <s v="688524 – Kochi"/>
    <x v="19"/>
    <x v="12"/>
    <s v="NA"/>
    <s v="false"/>
    <s v="0.1"/>
    <s v="0.314"/>
    <s v="NA"/>
    <s v="NA"/>
    <s v="NA"/>
    <s v="BALAGOPALA PRABHU"/>
    <s v="NA"/>
  </r>
  <r>
    <s v="08FHGPP4088D1Z1"/>
    <s v="OD434934553958986100"/>
    <s v="434934553958986100"/>
    <s v="&quot;&quot;&quot;Thinking, Fast and Slow Paperback, Kahneman Daniel&quot;&quot;&quot;"/>
    <s v="&quot;&quot;&quot;9783641093747&quot;&quot;&quot;"/>
    <s v="&quot;&quot;&quot;SKU:T-F-A-S&quot;&quot;&quot;"/>
    <x v="15"/>
    <s v="49011010"/>
    <s v="Sale"/>
    <x v="0"/>
    <s v="Prepaid"/>
    <s v="NON_FBF"/>
    <s v="2025-07-14 00:00:00"/>
    <x v="1"/>
    <s v="2025-07-14 00:00:00"/>
    <s v="1.0"/>
    <s v="IN-RJ"/>
    <s v="NA"/>
    <s v="137.0"/>
    <s v="0.0"/>
    <s v="0.0"/>
    <s v="0.0"/>
    <s v="137.0"/>
    <s v="0.0"/>
    <s v="137.0"/>
    <s v="0"/>
    <s v="137.0"/>
    <s v="0.0"/>
    <s v="0.0"/>
    <s v="0.0"/>
    <s v="0.0"/>
    <s v="0.0"/>
    <s v="0.0"/>
    <s v="0.0"/>
    <s v="0.0"/>
    <s v="0.0"/>
    <s v="0.0"/>
    <s v="0.0"/>
    <s v="0.0"/>
    <s v="0.0"/>
    <s v="0.0"/>
    <s v="0.0"/>
    <s v="0.0"/>
    <s v="0.0"/>
    <s v="0.0"/>
    <s v="0.0"/>
    <s v="FAMNXL2600000044"/>
    <s v="2025-07-15 00:00:00.0"/>
    <s v="137.0"/>
    <s v="785685"/>
    <s v="Assam"/>
    <s v="785685"/>
    <s v="785685 – Dibrugarh"/>
    <x v="20"/>
    <x v="5"/>
    <s v="NA"/>
    <s v="false"/>
    <s v="0.1"/>
    <s v="0.137"/>
    <s v="NA"/>
    <s v="NA"/>
    <s v="NA"/>
    <s v="Tanishjyoti Das"/>
    <s v="NA"/>
  </r>
  <r>
    <s v="08FHGPP4088D1Z1"/>
    <s v="OD435031769735833100"/>
    <s v="435031769735833100"/>
    <s v="&quot;&quot;&quot;The Alchemist English, Paperback, Paulo Coelho&quot;&quot;&quot;"/>
    <s v="&quot;&quot;&quot;9781512761689&quot;&quot;&quot;"/>
    <s v="&quot;&quot;&quot;SKU:ALCHEMIST01&quot;&quot;&quot;"/>
    <x v="1"/>
    <s v="49011010"/>
    <s v="Sale"/>
    <x v="0"/>
    <s v="Postpaid"/>
    <s v="NON_FBF"/>
    <s v="2025-07-25 00:00:00"/>
    <x v="1"/>
    <s v="2025-07-25 00:00:00"/>
    <s v="1.0"/>
    <s v="IN-RJ"/>
    <s v="NA"/>
    <s v="125.0"/>
    <s v="0.0"/>
    <s v="0.0"/>
    <s v="0.0"/>
    <s v="125.0"/>
    <s v="0.0"/>
    <s v="125.0"/>
    <s v="0"/>
    <s v="125.0"/>
    <s v="0.0"/>
    <s v="0.0"/>
    <s v="0.0"/>
    <s v="0.0"/>
    <s v="0.0"/>
    <s v="0.0"/>
    <s v="0.0"/>
    <s v="0.0"/>
    <s v="0.0"/>
    <s v="0.0"/>
    <s v="0.0"/>
    <s v="0.0"/>
    <s v="0.0"/>
    <s v="0.0"/>
    <s v="0.0"/>
    <s v="0.0"/>
    <s v="0.0"/>
    <s v="0.0"/>
    <s v="0.0"/>
    <s v="FAMNXL2600000058"/>
    <s v="2025-07-26 00:00:00.0"/>
    <s v="125.0"/>
    <s v="244713"/>
    <s v="Uttarakhand"/>
    <s v="244713"/>
    <s v="244713 – Moradabad"/>
    <x v="21"/>
    <x v="2"/>
    <s v="205.0"/>
    <s v="false"/>
    <s v="0.1"/>
    <s v="0.125"/>
    <s v="NA"/>
    <s v="NA"/>
    <s v="NA"/>
    <s v="Keshav"/>
    <s v="NA"/>
  </r>
  <r>
    <s v="08FHGPP4088D1Z1"/>
    <s v="OD434876435267351100"/>
    <s v="434876435267351101"/>
    <s v="&quot;&quot;&quot;The 7 Habits Of Highly Effective People Paperback, stephen r. convey&quot;&quot;&quot;"/>
    <s v="&quot;&quot;&quot;RBKGQZBZQYQMP6JE&quot;&quot;&quot;"/>
    <s v="&quot;&quot;&quot;SKU:7HABITS07&quot;&quot;&quot;"/>
    <x v="16"/>
    <s v="49011010"/>
    <s v="Sale"/>
    <x v="0"/>
    <s v="Postpaid"/>
    <s v="NON_FBF"/>
    <s v="2025-07-07 00:00:00"/>
    <x v="1"/>
    <s v="2025-07-07 00:00:00"/>
    <s v="1.0"/>
    <s v="IN-RJ"/>
    <s v="NA"/>
    <s v="138.0"/>
    <s v="0.0"/>
    <s v="0.0"/>
    <s v="0.0"/>
    <s v="138.0"/>
    <s v="0.0"/>
    <s v="138.0"/>
    <s v="0"/>
    <s v="138.0"/>
    <s v="0.0"/>
    <s v="0.0"/>
    <s v="0.0"/>
    <s v="0.0"/>
    <s v="0.0"/>
    <s v="0.0"/>
    <s v="0.0"/>
    <s v="0.0"/>
    <s v="0.0"/>
    <s v="0.0"/>
    <s v="0.0"/>
    <s v="0.0"/>
    <s v="0.0"/>
    <s v="0.0"/>
    <s v="0.0"/>
    <s v="0.0"/>
    <s v="0.0"/>
    <s v="0.0"/>
    <s v="0.0"/>
    <s v="FAMNXL2600000030"/>
    <s v="2025-07-08 00:00:00.0"/>
    <s v="138.0"/>
    <s v="522006"/>
    <s v="Andhra Pradesh"/>
    <s v="522006"/>
    <s v="522006 – Vijayawada"/>
    <x v="22"/>
    <x v="13"/>
    <s v="299.0"/>
    <s v="false"/>
    <s v="0.1"/>
    <s v="0.138"/>
    <s v="NA"/>
    <s v="NA"/>
    <s v="NA"/>
    <s v="N RAMANJANEYULU"/>
    <s v="NA"/>
  </r>
  <r>
    <s v="08FHGPP4088D1Z1"/>
    <s v="OD434819866406396100"/>
    <s v="434819866406396100"/>
    <s v="&quot;&quot;&quot;Can't Hurt Me: Master Your Mind And Defy The Odds Paperback, David Goggins&quot;&quot;&quot;"/>
    <s v="&quot;&quot;&quot;RBKHC37VJ2Q658FH&quot;&quot;&quot;"/>
    <s v="&quot;&quot;&quot;SKU:CANT-ME&quot;&quot;&quot;"/>
    <x v="0"/>
    <s v="49011010"/>
    <s v="Sale"/>
    <x v="0"/>
    <s v="Prepaid"/>
    <s v="NON_FBF"/>
    <s v="2025-07-01 00:00:00"/>
    <x v="1"/>
    <s v="2025-07-01 00:00:00"/>
    <s v="1.0"/>
    <s v="IN-RJ"/>
    <s v="NA"/>
    <s v="128.0"/>
    <s v="0.0"/>
    <s v="0.0"/>
    <s v="0.0"/>
    <s v="128.0"/>
    <s v="0.0"/>
    <s v="128.0"/>
    <s v="0"/>
    <s v="128.0"/>
    <s v="0.0"/>
    <s v="0.0"/>
    <s v="0.0"/>
    <s v="0.0"/>
    <s v="0.0"/>
    <s v="0.0"/>
    <s v="0.0"/>
    <s v="0.0"/>
    <s v="0.0"/>
    <s v="0.0"/>
    <s v="0.0"/>
    <s v="0.0"/>
    <s v="0.0"/>
    <s v="0.0"/>
    <s v="0.0"/>
    <s v="0.0"/>
    <s v="0.0"/>
    <s v="0.0"/>
    <s v="0.0"/>
    <s v="FAMNXL2600000008"/>
    <s v="2025-07-01 00:00:00.0"/>
    <s v="128.0"/>
    <s v="360575"/>
    <s v="Gujarat"/>
    <s v="360575"/>
    <s v="360575 – Rajkot"/>
    <x v="16"/>
    <x v="11"/>
    <s v="NA"/>
    <s v="false"/>
    <s v="0.1"/>
    <s v="0.128"/>
    <s v="NA"/>
    <s v="NA"/>
    <s v="NA"/>
    <s v="Bhavesh Solanki"/>
    <s v="NA"/>
  </r>
  <r>
    <s v="08FHGPP4088D1Z1"/>
    <s v="OD434816385915423100"/>
    <s v="434816385915423101"/>
    <s v="&quot;&quot;&quot;Can't Hurt Me: Master Your Mind And Defy The Odds Paperback, David Goggins&quot;&quot;&quot;"/>
    <s v="&quot;&quot;&quot;RBKHC37VJ2Q658FH&quot;&quot;&quot;"/>
    <s v="&quot;&quot;&quot;SKU:CANT-ME&quot;&quot;&quot;"/>
    <x v="0"/>
    <s v="49011010"/>
    <s v="Sale"/>
    <x v="0"/>
    <s v="Postpaid"/>
    <s v="NON_FBF"/>
    <s v="2025-07-01 00:00:00"/>
    <x v="1"/>
    <s v="2025-07-01 00:00:00"/>
    <s v="1.0"/>
    <s v="IN-RJ"/>
    <s v="NA"/>
    <s v="128.0"/>
    <s v="-12.0"/>
    <s v="0.0"/>
    <s v="-12.0"/>
    <s v="116.0"/>
    <s v="0.0"/>
    <s v="116.0"/>
    <s v="0"/>
    <s v="116.0"/>
    <s v="0.0"/>
    <s v="0.0"/>
    <s v="0.0"/>
    <s v="0.0"/>
    <s v="0.0"/>
    <s v="0.0"/>
    <s v="0.0"/>
    <s v="0.0"/>
    <s v="0.0"/>
    <s v="0.0"/>
    <s v="0.0"/>
    <s v="0.0"/>
    <s v="0.0"/>
    <s v="0.0"/>
    <s v="0.0"/>
    <s v="0.0"/>
    <s v="0.0"/>
    <s v="0.0"/>
    <s v="0.0"/>
    <s v="FAMNXL2600000007"/>
    <s v="2025-07-01 00:00:00.0"/>
    <s v="116.0"/>
    <s v="638101"/>
    <s v="Tamil Nadu"/>
    <s v="638101"/>
    <s v="638101 – Coimbatore"/>
    <x v="23"/>
    <x v="4"/>
    <s v="NA"/>
    <s v="false"/>
    <s v="0.1"/>
    <s v="0.116"/>
    <s v="NA"/>
    <s v="NA"/>
    <s v="NA"/>
    <s v="Sakthivishnu Balaji"/>
    <s v="NA"/>
  </r>
  <r>
    <s v="08FHGPP4088D1Z1"/>
    <s v="OD434838853493875100"/>
    <s v="434838853493875100"/>
    <s v="&quot;&quot;&quot;The 7 Habits Of Highly Effective People Paperback, stephen r. convey&quot;&quot;&quot;"/>
    <s v="&quot;&quot;&quot;RBKGQZBZQYQMP6JE&quot;&quot;&quot;"/>
    <s v="&quot;&quot;&quot;SKU:7HABITS07&quot;&quot;&quot;"/>
    <x v="16"/>
    <s v="49011010"/>
    <s v="Sale"/>
    <x v="0"/>
    <s v="Prepaid"/>
    <s v="NON_FBF"/>
    <s v="2025-07-03 00:00:00"/>
    <x v="1"/>
    <s v="2025-07-03 00:00:00"/>
    <s v="1.0"/>
    <s v="IN-RJ"/>
    <s v="NA"/>
    <s v="138.0"/>
    <s v="0.0"/>
    <s v="0.0"/>
    <s v="0.0"/>
    <s v="138.0"/>
    <s v="0.0"/>
    <s v="138.0"/>
    <s v="0"/>
    <s v="138.0"/>
    <s v="0.0"/>
    <s v="0.0"/>
    <s v="0.0"/>
    <s v="0.0"/>
    <s v="0.0"/>
    <s v="0.0"/>
    <s v="0.0"/>
    <s v="0.0"/>
    <s v="0.0"/>
    <s v="0.0"/>
    <s v="0.0"/>
    <s v="0.0"/>
    <s v="0.0"/>
    <s v="0.0"/>
    <s v="0.0"/>
    <s v="0.0"/>
    <s v="0.0"/>
    <s v="0.0"/>
    <s v="0.0"/>
    <s v="FAMNXL2600000013"/>
    <s v="2025-07-03 00:00:00.0"/>
    <s v="138.0"/>
    <s v="560097"/>
    <s v="Karnataka"/>
    <s v="560097"/>
    <s v="560097 – Bengaluru"/>
    <x v="24"/>
    <x v="0"/>
    <s v="299.0"/>
    <s v="false"/>
    <s v="0.1"/>
    <s v="0.138"/>
    <s v="NA"/>
    <s v="NA"/>
    <s v="NA"/>
    <s v="Shilpa Aacharya"/>
    <s v="NA"/>
  </r>
  <r>
    <s v="08FHGPP4088D1Z1"/>
    <s v="OD434834156869603100"/>
    <s v="434834156869603100"/>
    <s v="&quot;&quot;&quot;THE Can't Hurt Me : Master Your Mind And Defy The Odds - Clean Edition Paperback, David Goggins&quot;&quot;&quot;"/>
    <s v="&quot;&quot;&quot;RBKHCZS2BY2JKZWG&quot;&quot;&quot;"/>
    <s v="&quot;&quot;&quot;SKU:CANT02&quot;&quot;&quot;"/>
    <x v="3"/>
    <s v="49011010"/>
    <s v="Sale"/>
    <x v="0"/>
    <s v="Postpaid"/>
    <s v="NON_FBF"/>
    <s v="2025-07-03 00:00:00"/>
    <x v="1"/>
    <s v="2025-07-03 00:00:00"/>
    <s v="1.0"/>
    <s v="IN-RJ"/>
    <s v="NA"/>
    <s v="128.0"/>
    <s v="0.0"/>
    <s v="0.0"/>
    <s v="0.0"/>
    <s v="128.0"/>
    <s v="0.0"/>
    <s v="128.0"/>
    <s v="0"/>
    <s v="128.0"/>
    <s v="0.0"/>
    <s v="0.0"/>
    <s v="0.0"/>
    <s v="0.0"/>
    <s v="0.0"/>
    <s v="0.0"/>
    <s v="0.0"/>
    <s v="0.0"/>
    <s v="0.0"/>
    <s v="0.0"/>
    <s v="0.0"/>
    <s v="0.0"/>
    <s v="0.0"/>
    <s v="0.0"/>
    <s v="0.0"/>
    <s v="0.0"/>
    <s v="0.0"/>
    <s v="0.0"/>
    <s v="0.0"/>
    <s v="FAMNXL2600000010"/>
    <s v="2025-07-03 00:00:00.0"/>
    <s v="128.0"/>
    <s v="416001"/>
    <s v="Maharashtra"/>
    <s v="416001"/>
    <s v="416001 – Ratnagiri"/>
    <x v="15"/>
    <x v="3"/>
    <s v="NA"/>
    <s v="false"/>
    <s v="0.1"/>
    <s v="0.128"/>
    <s v="NA"/>
    <s v="NA"/>
    <s v="NA"/>
    <s v="Devraj Bamnekar"/>
    <s v="NA"/>
  </r>
  <r>
    <s v="08FHGPP4088D1Z1"/>
    <s v="OD334838086789810100"/>
    <s v="334838086789810100"/>
    <s v="&quot;&quot;&quot;The 5 Am Club Paperback, Robin Sharma&quot;&quot;&quot;"/>
    <s v="&quot;&quot;&quot;RBKGT4UJ7UBGDZKQ&quot;&quot;&quot;"/>
    <s v="&quot;&quot;&quot;SKU:5AM-01&quot;&quot;&quot;"/>
    <x v="17"/>
    <s v="49011010"/>
    <s v="Sale"/>
    <x v="0"/>
    <s v="Postpaid"/>
    <s v="NON_FBF"/>
    <s v="2025-07-03 00:00:00"/>
    <x v="1"/>
    <s v="2025-07-03 00:00:00"/>
    <s v="1.0"/>
    <s v="IN-RJ"/>
    <s v="NA"/>
    <s v="118.0"/>
    <s v="0.0"/>
    <s v="0.0"/>
    <s v="0.0"/>
    <s v="118.0"/>
    <s v="0.0"/>
    <s v="118.0"/>
    <s v="0"/>
    <s v="118.0"/>
    <s v="0.0"/>
    <s v="0.0"/>
    <s v="0.0"/>
    <s v="0.0"/>
    <s v="0.0"/>
    <s v="0.0"/>
    <s v="0.0"/>
    <s v="0.0"/>
    <s v="0.0"/>
    <s v="0.0"/>
    <s v="0.0"/>
    <s v="0.0"/>
    <s v="0.0"/>
    <s v="0.0"/>
    <s v="0.0"/>
    <s v="0.0"/>
    <s v="0.0"/>
    <s v="0.0"/>
    <s v="0.0"/>
    <s v="FAMNXL2600000012"/>
    <s v="2025-07-03 00:00:00.0"/>
    <s v="118.0"/>
    <s v="570018"/>
    <s v="Karnataka"/>
    <s v="570018"/>
    <s v="570018 – Belagavi"/>
    <x v="0"/>
    <x v="0"/>
    <s v="259.0"/>
    <s v="false"/>
    <s v="0.1"/>
    <s v="0.118"/>
    <s v="NA"/>
    <s v="NA"/>
    <s v="NA"/>
    <s v="Rahul Mashal"/>
    <s v="NA"/>
  </r>
  <r>
    <s v="08FHGPP4088D1Z1"/>
    <s v="OD334906222915061100"/>
    <s v="334906222915061107"/>
    <s v="&quot;&quot;&quot;One Up On Wall Street  - Stock Market Books by Peter Lynch English, Paperback, Lynch Peter&quot;&quot;&quot;"/>
    <s v="&quot;&quot;&quot;9780743200400&quot;&quot;&quot;"/>
    <s v="&quot;&quot;&quot;SKU:ONEUP&quot;&quot;&quot;"/>
    <x v="18"/>
    <s v="49011010"/>
    <s v="Sale"/>
    <x v="0"/>
    <s v="Prepaid"/>
    <s v="NON_FBF"/>
    <s v="2025-07-11 00:00:00"/>
    <x v="1"/>
    <s v="2025-07-11 00:00:00"/>
    <s v="1.0"/>
    <s v="IN-RJ"/>
    <s v="NA"/>
    <s v="137.0"/>
    <s v="0.0"/>
    <s v="0.0"/>
    <s v="0.0"/>
    <s v="137.0"/>
    <s v="0.0"/>
    <s v="137.0"/>
    <s v="0"/>
    <s v="137.0"/>
    <s v="0.0"/>
    <s v="0.0"/>
    <s v="0.0"/>
    <s v="0.0"/>
    <s v="0.0"/>
    <s v="0.0"/>
    <s v="0.0"/>
    <s v="0.0"/>
    <s v="0.0"/>
    <s v="0.0"/>
    <s v="0.0"/>
    <s v="0.0"/>
    <s v="0.0"/>
    <s v="0.0"/>
    <s v="0.0"/>
    <s v="0.0"/>
    <s v="0.0"/>
    <s v="0.0"/>
    <s v="0.0"/>
    <s v="FAMNXL2600000037"/>
    <s v="2025-07-11 00:00:00.0"/>
    <s v="137.0"/>
    <s v="505001"/>
    <s v="Telangana"/>
    <s v="505001"/>
    <s v="505001 – Nizamabad"/>
    <x v="25"/>
    <x v="14"/>
    <s v="NA"/>
    <s v="false"/>
    <s v="0.1"/>
    <s v="0.137"/>
    <s v="NA"/>
    <s v="NA"/>
    <s v="NA"/>
    <s v="Perala Kaushik"/>
    <s v="NA"/>
  </r>
  <r>
    <s v="08FHGPP4088D1Z1"/>
    <s v="OD434900971665486100"/>
    <s v="434900971665486101"/>
    <s v="&quot;&quot;&quot;One Up On Wall Street  - Stock Market Books by Peter Lynch English, Paperback, Lynch Peter&quot;&quot;&quot;"/>
    <s v="&quot;&quot;&quot;9780743200400&quot;&quot;&quot;"/>
    <s v="&quot;&quot;&quot;SKU:ONEUP&quot;&quot;&quot;"/>
    <x v="18"/>
    <s v="49011010"/>
    <s v="Sale"/>
    <x v="0"/>
    <s v="Prepaid"/>
    <s v="NON_FBF"/>
    <s v="2025-07-10 00:00:00"/>
    <x v="1"/>
    <s v="2025-07-10 00:00:00"/>
    <s v="1.0"/>
    <s v="IN-RJ"/>
    <s v="NA"/>
    <s v="137.0"/>
    <s v="0.0"/>
    <s v="0.0"/>
    <s v="0.0"/>
    <s v="137.0"/>
    <s v="0.0"/>
    <s v="137.0"/>
    <s v="0"/>
    <s v="137.0"/>
    <s v="0.0"/>
    <s v="0.0"/>
    <s v="0.0"/>
    <s v="0.0"/>
    <s v="0.0"/>
    <s v="0.0"/>
    <s v="0.0"/>
    <s v="0.0"/>
    <s v="0.0"/>
    <s v="0.0"/>
    <s v="0.0"/>
    <s v="0.0"/>
    <s v="0.0"/>
    <s v="0.0"/>
    <s v="0.0"/>
    <s v="0.0"/>
    <s v="0.0"/>
    <s v="0.0"/>
    <s v="0.0"/>
    <s v="FAMNXL2600000036"/>
    <s v="2025-07-11 00:00:00.0"/>
    <s v="137.0"/>
    <s v="560085"/>
    <s v="Karnataka"/>
    <s v="560085"/>
    <s v="560085 – Bengaluru"/>
    <x v="24"/>
    <x v="0"/>
    <s v="NA"/>
    <s v="false"/>
    <s v="0.1"/>
    <s v="0.137"/>
    <s v="NA"/>
    <s v="NA"/>
    <s v="NA"/>
    <s v="Shashank Laxman Kamath"/>
    <s v="NA"/>
  </r>
  <r>
    <s v="08FHGPP4088D1Z1"/>
    <s v="OD434901555950354100"/>
    <s v="434901555950354100"/>
    <s v="&quot;&quot;&quot;One Up On Wall Street  - Stock Market Books by Peter Lynch English, Paperback, Lynch Peter&quot;&quot;&quot;"/>
    <s v="&quot;&quot;&quot;9780743200400&quot;&quot;&quot;"/>
    <s v="&quot;&quot;&quot;SKU:ONEUP&quot;&quot;&quot;"/>
    <x v="18"/>
    <s v="49011010"/>
    <s v="Sale"/>
    <x v="0"/>
    <s v="Postpaid"/>
    <s v="NON_FBF"/>
    <s v="2025-07-10 00:00:00"/>
    <x v="1"/>
    <s v="2025-07-10 00:00:00"/>
    <s v="1.0"/>
    <s v="IN-RJ"/>
    <s v="NA"/>
    <s v="137.0"/>
    <s v="0.0"/>
    <s v="0.0"/>
    <s v="0.0"/>
    <s v="137.0"/>
    <s v="0.0"/>
    <s v="137.0"/>
    <s v="0"/>
    <s v="137.0"/>
    <s v="0.0"/>
    <s v="0.0"/>
    <s v="0.0"/>
    <s v="0.0"/>
    <s v="0.0"/>
    <s v="0.0"/>
    <s v="0.0"/>
    <s v="0.0"/>
    <s v="0.0"/>
    <s v="0.0"/>
    <s v="0.0"/>
    <s v="0.0"/>
    <s v="0.0"/>
    <s v="0.0"/>
    <s v="0.0"/>
    <s v="0.0"/>
    <s v="0.0"/>
    <s v="0.0"/>
    <s v="0.0"/>
    <s v="FAMNXL2600000035"/>
    <s v="2025-07-11 00:00:00.0"/>
    <s v="137.0"/>
    <s v="201012"/>
    <s v="Uttar Pradesh"/>
    <s v="201012"/>
    <s v="201012 – Meerut"/>
    <x v="26"/>
    <x v="10"/>
    <s v="NA"/>
    <s v="false"/>
    <s v="0.1"/>
    <s v="0.137"/>
    <s v="NA"/>
    <s v="NA"/>
    <s v="NA"/>
    <s v="Nidhi Sharma"/>
    <s v="NA"/>
  </r>
  <r>
    <s v="08FHGPP4088D1Z1"/>
    <s v="OD434906137360248100"/>
    <s v="434906137360248100"/>
    <s v="&quot;&quot;&quot;One Up On Wall Street  - Stock Market Books by Peter Lynch English, Paperback, Lynch Peter&quot;&quot;&quot;"/>
    <s v="&quot;&quot;&quot;9780743200400&quot;&quot;&quot;"/>
    <s v="&quot;&quot;&quot;SKU:ONEUP&quot;&quot;&quot;"/>
    <x v="18"/>
    <s v="49011010"/>
    <s v="Sale"/>
    <x v="0"/>
    <s v="Postpaid"/>
    <s v="NON_FBF"/>
    <s v="2025-07-11 00:00:00"/>
    <x v="1"/>
    <s v="2025-07-11 00:00:00"/>
    <s v="1.0"/>
    <s v="IN-RJ"/>
    <s v="NA"/>
    <s v="137.0"/>
    <s v="0.0"/>
    <s v="0.0"/>
    <s v="0.0"/>
    <s v="137.0"/>
    <s v="0.0"/>
    <s v="137.0"/>
    <s v="0"/>
    <s v="137.0"/>
    <s v="0.0"/>
    <s v="0.0"/>
    <s v="0.0"/>
    <s v="0.0"/>
    <s v="0.0"/>
    <s v="0.0"/>
    <s v="0.0"/>
    <s v="0.0"/>
    <s v="0.0"/>
    <s v="0.0"/>
    <s v="0.0"/>
    <s v="0.0"/>
    <s v="0.0"/>
    <s v="0.0"/>
    <s v="0.0"/>
    <s v="0.0"/>
    <s v="0.0"/>
    <s v="0.0"/>
    <s v="0.0"/>
    <s v="FAMNXL2600000034"/>
    <s v="2025-07-11 00:00:00.0"/>
    <s v="137.0"/>
    <s v="227305"/>
    <s v="Uttar Pradesh"/>
    <s v="227305"/>
    <s v="227305 – Azamgarh"/>
    <x v="27"/>
    <x v="10"/>
    <s v="NA"/>
    <s v="false"/>
    <s v="0.1"/>
    <s v="0.137"/>
    <s v="NA"/>
    <s v="NA"/>
    <s v="NA"/>
    <s v="Pranjal"/>
    <s v="NA"/>
  </r>
  <r>
    <s v="08FHGPP4088D1Z1"/>
    <s v="OD434902799579642100"/>
    <s v="434902799579642100"/>
    <s v="&quot;&quot;&quot;One Up On Wall Street  - Stock Market Books by Peter Lynch English, Paperback, Lynch Peter&quot;&quot;&quot;"/>
    <s v="&quot;&quot;&quot;9780743200400&quot;&quot;&quot;"/>
    <s v="&quot;&quot;&quot;SKU:ONEUP&quot;&quot;&quot;"/>
    <x v="18"/>
    <s v="49011010"/>
    <s v="Sale"/>
    <x v="0"/>
    <s v="Prepaid"/>
    <s v="NON_FBF"/>
    <s v="2025-07-11 00:00:00"/>
    <x v="1"/>
    <s v="2025-07-11 00:00:00"/>
    <s v="1.0"/>
    <s v="IN-RJ"/>
    <s v="NA"/>
    <s v="137.0"/>
    <s v="0.0"/>
    <s v="0.0"/>
    <s v="0.0"/>
    <s v="137.0"/>
    <s v="0.0"/>
    <s v="137.0"/>
    <s v="0"/>
    <s v="137.0"/>
    <s v="0.0"/>
    <s v="0.0"/>
    <s v="0.0"/>
    <s v="0.0"/>
    <s v="0.0"/>
    <s v="0.0"/>
    <s v="0.0"/>
    <s v="0.0"/>
    <s v="0.0"/>
    <s v="0.0"/>
    <s v="0.0"/>
    <s v="0.0"/>
    <s v="0.0"/>
    <s v="0.0"/>
    <s v="0.0"/>
    <s v="0.0"/>
    <s v="0.0"/>
    <s v="0.0"/>
    <s v="0.0"/>
    <s v="FAMNXL2600000033"/>
    <s v="2025-07-11 00:00:00.0"/>
    <s v="137.0"/>
    <s v="625002"/>
    <s v="Tamil Nadu"/>
    <s v="625002"/>
    <s v="625002 – Madurai"/>
    <x v="28"/>
    <x v="4"/>
    <s v="NA"/>
    <s v="false"/>
    <s v="0.1"/>
    <s v="0.137"/>
    <s v="NA"/>
    <s v="NA"/>
    <s v="NA"/>
    <s v="K Ramkumar"/>
    <s v="NA"/>
  </r>
  <r>
    <s v="08FHGPP4088D1Z1"/>
    <s v="OD334855766329554100"/>
    <s v="334855766329554100"/>
    <s v="&quot;&quot;&quot;Generic Set. Can't Hurt Me. Rich Dad. The Subtle. The Psychology Of Money. Combo Set Of 4 Books Paperback, Self help&quot;&quot;&quot;"/>
    <s v="&quot;&quot;&quot;RBKHCYYGJ73RF7T5&quot;&quot;&quot;"/>
    <s v="&quot;&quot;&quot;SKU:CANT-RICH-PSYCH-ART&quot;&quot;&quot;"/>
    <x v="19"/>
    <s v="49011010"/>
    <s v="Sale"/>
    <x v="0"/>
    <s v="Postpaid"/>
    <s v="NON_FBF"/>
    <s v="2025-07-05 00:00:00"/>
    <x v="1"/>
    <s v="2025-07-05 00:00:00"/>
    <s v="1.0"/>
    <s v="IN-RJ"/>
    <s v="NA"/>
    <s v="360.0"/>
    <s v="0.0"/>
    <s v="0.0"/>
    <s v="0.0"/>
    <s v="360.0"/>
    <s v="0.0"/>
    <s v="360.0"/>
    <s v="0"/>
    <s v="360.0"/>
    <s v="0.0"/>
    <s v="0.0"/>
    <s v="0.0"/>
    <s v="0.0"/>
    <s v="0.0"/>
    <s v="0.0"/>
    <s v="0.0"/>
    <s v="0.0"/>
    <s v="0.0"/>
    <s v="0.0"/>
    <s v="0.0"/>
    <s v="0.0"/>
    <s v="0.0"/>
    <s v="0.0"/>
    <s v="0.0"/>
    <s v="0.0"/>
    <s v="0.0"/>
    <s v="0.0"/>
    <s v="0.0"/>
    <s v="FAMNXL2600000022"/>
    <s v="2025-07-05 00:00:00.0"/>
    <s v="360.0"/>
    <s v="751029"/>
    <s v="Odisha"/>
    <s v="751029"/>
    <s v="751029 – Bhubaneswar"/>
    <x v="1"/>
    <x v="1"/>
    <s v="499.0"/>
    <s v="false"/>
    <s v="0.1"/>
    <s v="0.36"/>
    <s v="NA"/>
    <s v="NA"/>
    <s v="NA"/>
    <s v="Proten Kumar Senapati"/>
    <s v="NA"/>
  </r>
  <r>
    <s v="08FHGPP4088D1Z1"/>
    <s v="OD434876104059469100"/>
    <s v="434876104059469100"/>
    <s v="&quot;&quot;&quot;The 5 Am Club Paperback, Robin Sharma&quot;&quot;&quot;"/>
    <s v="&quot;&quot;&quot;RBKGT4UJ7UBGDZKQ&quot;&quot;&quot;"/>
    <s v="&quot;&quot;&quot;SKU:5AM-01&quot;&quot;&quot;"/>
    <x v="17"/>
    <s v="49011010"/>
    <s v="Sale"/>
    <x v="0"/>
    <s v="Postpaid"/>
    <s v="NON_FBF"/>
    <s v="2025-07-07 00:00:00"/>
    <x v="1"/>
    <s v="2025-07-07 00:00:00"/>
    <s v="1.0"/>
    <s v="IN-RJ"/>
    <s v="NA"/>
    <s v="118.0"/>
    <s v="0.0"/>
    <s v="0.0"/>
    <s v="0.0"/>
    <s v="118.0"/>
    <s v="0.0"/>
    <s v="118.0"/>
    <s v="0"/>
    <s v="118.0"/>
    <s v="0.0"/>
    <s v="0.0"/>
    <s v="0.0"/>
    <s v="0.0"/>
    <s v="0.0"/>
    <s v="0.0"/>
    <s v="0.0"/>
    <s v="0.0"/>
    <s v="0.0"/>
    <s v="0.0"/>
    <s v="0.0"/>
    <s v="0.0"/>
    <s v="0.0"/>
    <s v="0.0"/>
    <s v="0.0"/>
    <s v="0.0"/>
    <s v="0.0"/>
    <s v="0.0"/>
    <s v="0.0"/>
    <s v="FAMNXL2600000031"/>
    <s v="2025-07-08 00:00:00.0"/>
    <s v="118.0"/>
    <s v="735229"/>
    <s v="West Bengal"/>
    <s v="735229"/>
    <s v="735229 – Siliguri"/>
    <x v="29"/>
    <x v="9"/>
    <s v="259.0"/>
    <s v="false"/>
    <s v="0.1"/>
    <s v="0.118"/>
    <s v="NA"/>
    <s v="NA"/>
    <s v="NA"/>
    <s v="Rupesh Darjee"/>
    <s v="NA"/>
  </r>
  <r>
    <s v="08FHGPP4088D1Z1"/>
    <s v="OD335023637351592100"/>
    <s v="335023637351592100"/>
    <s v="&quot;&quot;&quot;Rich Dad Poor Dad - Hindi Paperback, Robert T. Kiyosaki&quot;&quot;&quot;"/>
    <s v="&quot;&quot;&quot;9788551004913&quot;&quot;&quot;"/>
    <s v="&quot;&quot;&quot;SKU:RICH-DAD-HINDI03&quot;&quot;&quot;"/>
    <x v="20"/>
    <s v="49011010"/>
    <s v="Sale"/>
    <x v="0"/>
    <s v="Postpaid"/>
    <s v="NON_FBF"/>
    <s v="2025-07-24 00:00:00"/>
    <x v="1"/>
    <s v="2025-07-24 00:00:00"/>
    <s v="1.0"/>
    <s v="IN-RJ"/>
    <s v="NA"/>
    <s v="93.0"/>
    <s v="0.0"/>
    <s v="0.0"/>
    <s v="0.0"/>
    <s v="93.0"/>
    <s v="0.0"/>
    <s v="93.0"/>
    <s v="0"/>
    <s v="93.0"/>
    <s v="0.0"/>
    <s v="0.0"/>
    <s v="0.0"/>
    <s v="0.0"/>
    <s v="0.0"/>
    <s v="0.0"/>
    <s v="0.0"/>
    <s v="0.0"/>
    <s v="0.0"/>
    <s v="0.0"/>
    <s v="0.0"/>
    <s v="0.0"/>
    <s v="0.0"/>
    <s v="0.0"/>
    <s v="0.0"/>
    <s v="0.0"/>
    <s v="0.0"/>
    <s v="0.0"/>
    <s v="0.0"/>
    <s v="FAMNXL2600000057"/>
    <s v="2025-07-25 00:00:00.0"/>
    <s v="93.0"/>
    <s v="231001"/>
    <s v="Uttar Pradesh"/>
    <s v="231001"/>
    <s v="231001 – Gorakhpur"/>
    <x v="30"/>
    <x v="10"/>
    <s v="NA"/>
    <s v="false"/>
    <s v="0.1"/>
    <s v="0.093"/>
    <s v="NA"/>
    <s v="NA"/>
    <s v="NA"/>
    <s v="Akash Tyagi"/>
    <s v="NA"/>
  </r>
  <r>
    <s v="08FHGPP4088D1Z1"/>
    <s v="OD334881167457976100"/>
    <s v="334881167457976100"/>
    <s v="&quot;&quot;&quot;Energize Your Mind  - SELF MOTIVATED : Energize your mind by Gaur Gopal Dass English, Paperback, Das Gaur Gopal&quot;&quot;&quot;"/>
    <s v="&quot;&quot;&quot;9780143442288&quot;&quot;&quot;"/>
    <s v="&quot;&quot;&quot;SKU:ENERGIZE-YOUR-MIND&quot;&quot;&quot;"/>
    <x v="21"/>
    <s v="49011010"/>
    <s v="Return"/>
    <x v="2"/>
    <s v="Postpaid"/>
    <s v="NON_FBF"/>
    <s v="2025-07-08 00:00:00"/>
    <x v="1"/>
    <s v="2025-07-08 00:00:00"/>
    <s v="1.0"/>
    <s v="IN-RJ"/>
    <s v="NA"/>
    <s v="113.0"/>
    <s v="-11.0"/>
    <s v="0.0"/>
    <s v="-11.0"/>
    <s v="102.0"/>
    <s v="0.0"/>
    <s v="102.0"/>
    <s v="0"/>
    <s v="-102.0"/>
    <s v="0.0"/>
    <s v="0.0"/>
    <s v="0.0"/>
    <s v="0.0"/>
    <s v="0.0"/>
    <s v="0.0"/>
    <s v="0.0"/>
    <s v="0.0"/>
    <s v="0.0"/>
    <s v="0.0"/>
    <s v="0.0"/>
    <s v="0.0"/>
    <s v="0.0"/>
    <s v="0.0"/>
    <s v="0.0"/>
    <s v="0.0"/>
    <s v="0.0"/>
    <s v="0.0"/>
    <s v="0.0"/>
    <s v="RAKC4V2600000005"/>
    <s v="2025-07-17 00:00:00.0"/>
    <s v="-102.0"/>
    <s v="794106"/>
    <s v="Meghalaya"/>
    <s v="794106"/>
    <s v="794106 – Shillong"/>
    <x v="31"/>
    <x v="15"/>
    <s v="NA"/>
    <s v="false"/>
    <s v="0.1"/>
    <s v="0.102"/>
    <s v="NA"/>
    <s v="NA"/>
    <s v="NA"/>
    <s v="Mahmud Zaman"/>
    <s v="NA"/>
  </r>
  <r>
    <s v="08FHGPP4088D1Z1"/>
    <s v="OD435010203880411100"/>
    <s v="435010203880411100"/>
    <s v="&quot;&quot;&quot;Life's Amazing Secrets Paperback, Hindi, Das Gaur Gopal&quot;&quot;&quot;"/>
    <s v="&quot;&quot;&quot;RBKHCF7NESMGJWYD&quot;&quot;&quot;"/>
    <s v="&quot;&quot;&quot;SKU:LIFE02&quot;&quot;&quot;"/>
    <x v="22"/>
    <s v="49011010"/>
    <s v="Sale"/>
    <x v="0"/>
    <s v="Prepaid"/>
    <s v="NON_FBF"/>
    <s v="2025-07-23 00:00:00"/>
    <x v="1"/>
    <s v="2025-07-23 00:00:00"/>
    <s v="1.0"/>
    <s v="IN-RJ"/>
    <s v="NA"/>
    <s v="118.0"/>
    <s v="0.0"/>
    <s v="0.0"/>
    <s v="0.0"/>
    <s v="118.0"/>
    <s v="0.0"/>
    <s v="118.0"/>
    <s v="0"/>
    <s v="118.0"/>
    <s v="0.0"/>
    <s v="0.0"/>
    <s v="0.0"/>
    <s v="0.0"/>
    <s v="0.0"/>
    <s v="0.0"/>
    <s v="0.0"/>
    <s v="0.0"/>
    <s v="0.0"/>
    <s v="0.0"/>
    <s v="0.0"/>
    <s v="0.0"/>
    <s v="0.0"/>
    <s v="0.0"/>
    <s v="0.0"/>
    <s v="0.0"/>
    <s v="0.0"/>
    <s v="0.0"/>
    <s v="0.0"/>
    <s v="FAMNXL2600000054"/>
    <s v="2025-07-23 00:00:00.0"/>
    <s v="118.0"/>
    <s v="480337"/>
    <s v="Madhya Pradesh"/>
    <s v="480337"/>
    <s v="480337 – Bhopal"/>
    <x v="32"/>
    <x v="16"/>
    <s v="230.0"/>
    <s v="false"/>
    <s v="0.1"/>
    <s v="0.118"/>
    <s v="NA"/>
    <s v="NA"/>
    <s v="NA"/>
    <s v="Nikhil Kinkar"/>
    <s v="NA"/>
  </r>
  <r>
    <s v="08FHGPP4088D1Z1"/>
    <s v="OD434937154161637100"/>
    <s v="434937154161637100"/>
    <s v="&quot;&quot;&quot;Think And Grow Rich By Napoleon Hill-New Revised &amp; Updated Book Paperback, Napoleon Hill&quot;&quot;&quot;"/>
    <s v="&quot;&quot;&quot;RBKGHGEWFEXWJT3D&quot;&quot;&quot;"/>
    <s v="&quot;&quot;&quot;SKU:THANGRORICH&quot;&quot;&quot;"/>
    <x v="13"/>
    <s v="49011010"/>
    <s v="Sale"/>
    <x v="0"/>
    <s v="Prepaid"/>
    <s v="NON_FBF"/>
    <s v="2025-07-14 00:00:00"/>
    <x v="1"/>
    <s v="2025-07-14 00:00:00"/>
    <s v="1.0"/>
    <s v="IN-RJ"/>
    <s v="NA"/>
    <s v="126.0"/>
    <s v="0.0"/>
    <s v="0.0"/>
    <s v="0.0"/>
    <s v="126.0"/>
    <s v="0.0"/>
    <s v="126.0"/>
    <s v="0"/>
    <s v="126.0"/>
    <s v="0.0"/>
    <s v="0.0"/>
    <s v="0.0"/>
    <s v="0.0"/>
    <s v="0.0"/>
    <s v="0.0"/>
    <s v="0.0"/>
    <s v="0.0"/>
    <s v="0.0"/>
    <s v="0.0"/>
    <s v="0.0"/>
    <s v="0.0"/>
    <s v="0.0"/>
    <s v="0.0"/>
    <s v="0.0"/>
    <s v="0.0"/>
    <s v="0.0"/>
    <s v="0.0"/>
    <s v="0.0"/>
    <s v="FAMNXL2600000051"/>
    <s v="2025-07-19 00:00:00.0"/>
    <s v="126.0"/>
    <s v="400053"/>
    <s v="Maharashtra"/>
    <s v="400053"/>
    <s v="400053 – Mumbai"/>
    <x v="33"/>
    <x v="3"/>
    <s v="249.0"/>
    <s v="false"/>
    <s v="0.1"/>
    <s v="0.126"/>
    <s v="NA"/>
    <s v="NA"/>
    <s v="NA"/>
    <s v="Aanya Tiwari"/>
    <s v="NA"/>
  </r>
  <r>
    <s v="08FHGPP4088D1Z1"/>
    <s v="OD334841814443707100"/>
    <s v="334841814443707100"/>
    <s v="&quot;&quot;&quot;Rich Dad Poor Dad - Hindi Paperback, Robert T. Kiyosaki&quot;&quot;&quot;"/>
    <s v="&quot;&quot;&quot;9788551004913&quot;&quot;&quot;"/>
    <s v="&quot;&quot;&quot;SKU:RICH-DAD-HINDI03&quot;&quot;&quot;"/>
    <x v="20"/>
    <s v="49011010"/>
    <s v="Sale"/>
    <x v="0"/>
    <s v="Prepaid"/>
    <s v="NON_FBF"/>
    <s v="2025-07-03 00:00:00"/>
    <x v="1"/>
    <s v="2025-07-03 00:00:00"/>
    <s v="1.0"/>
    <s v="IN-RJ"/>
    <s v="NA"/>
    <s v="94.0"/>
    <s v="0.0"/>
    <s v="0.0"/>
    <s v="0.0"/>
    <s v="94.0"/>
    <s v="0.0"/>
    <s v="94.0"/>
    <s v="0"/>
    <s v="94.0"/>
    <s v="0.0"/>
    <s v="0.0"/>
    <s v="0.0"/>
    <s v="0.0"/>
    <s v="0.0"/>
    <s v="0.0"/>
    <s v="0.0"/>
    <s v="0.0"/>
    <s v="0.0"/>
    <s v="0.0"/>
    <s v="0.0"/>
    <s v="0.0"/>
    <s v="0.0"/>
    <s v="0.0"/>
    <s v="0.0"/>
    <s v="0.0"/>
    <s v="0.0"/>
    <s v="0.0"/>
    <s v="0.0"/>
    <s v="FAMNXL2600000017"/>
    <s v="2025-07-04 00:00:00.0"/>
    <s v="94.0"/>
    <s v="411037"/>
    <s v="Maharashtra"/>
    <s v="411037"/>
    <s v="411037 – Pune"/>
    <x v="3"/>
    <x v="3"/>
    <s v="NA"/>
    <s v="false"/>
    <s v="0.1"/>
    <s v="0.094"/>
    <s v="NA"/>
    <s v="NA"/>
    <s v="NA"/>
    <s v="Ram Bhishnoi"/>
    <s v="NA"/>
  </r>
  <r>
    <s v="08FHGPP4088D1Z1"/>
    <s v="OD434842799840153100"/>
    <s v="434842799840153100"/>
    <s v="&quot;&quot;&quot;The 5 Am Club Paperback, Robin Sharma&quot;&quot;&quot;"/>
    <s v="&quot;&quot;&quot;RBKGT4UJ7UBGDZKQ&quot;&quot;&quot;"/>
    <s v="&quot;&quot;&quot;SKU:5AM-01&quot;&quot;&quot;"/>
    <x v="17"/>
    <s v="49011010"/>
    <s v="Sale"/>
    <x v="0"/>
    <s v="Prepaid"/>
    <s v="NON_FBF"/>
    <s v="2025-07-04 00:00:00"/>
    <x v="1"/>
    <s v="2025-07-04 00:00:00"/>
    <s v="1.0"/>
    <s v="IN-RJ"/>
    <s v="NA"/>
    <s v="118.0"/>
    <s v="0.0"/>
    <s v="0.0"/>
    <s v="0.0"/>
    <s v="118.0"/>
    <s v="0.0"/>
    <s v="118.0"/>
    <s v="0"/>
    <s v="118.0"/>
    <s v="0.0"/>
    <s v="0.0"/>
    <s v="0.0"/>
    <s v="0.0"/>
    <s v="0.0"/>
    <s v="0.0"/>
    <s v="0.0"/>
    <s v="0.0"/>
    <s v="0.0"/>
    <s v="0.0"/>
    <s v="0.0"/>
    <s v="0.0"/>
    <s v="0.0"/>
    <s v="0.0"/>
    <s v="0.0"/>
    <s v="0.0"/>
    <s v="0.0"/>
    <s v="0.0"/>
    <s v="0.0"/>
    <s v="FAMNXL2600000015"/>
    <s v="2025-07-04 00:00:00.0"/>
    <s v="118.0"/>
    <s v="500072"/>
    <s v="Telangana"/>
    <s v="500072"/>
    <s v="500072 – Hyderabad"/>
    <x v="34"/>
    <x v="14"/>
    <s v="259.0"/>
    <s v="false"/>
    <s v="0.1"/>
    <s v="0.118"/>
    <s v="NA"/>
    <s v="NA"/>
    <s v="NA"/>
    <s v="Ravi"/>
    <s v="NA"/>
  </r>
  <r>
    <s v="08FHGPP4088D1Z1"/>
    <s v="OD434865972890453100"/>
    <s v="434865972890453100"/>
    <s v="&quot;&quot;&quot;Who will cry when you Die + Mindset 2 Book Coombo Paperback, JMD BOOKS&quot;&quot;&quot;"/>
    <s v="&quot;&quot;&quot;9789516015418&quot;&quot;&quot;"/>
    <s v="&quot;&quot;&quot;SKU:WHO-MINDSET&quot;&quot;&quot;"/>
    <x v="23"/>
    <s v="49011010"/>
    <s v="Return"/>
    <x v="2"/>
    <s v="Postpaid"/>
    <s v="NON_FBF"/>
    <s v="2025-07-06 00:00:00"/>
    <x v="1"/>
    <s v="2025-07-06 00:00:00"/>
    <s v="1.0"/>
    <s v="IN-RJ"/>
    <s v="NA"/>
    <s v="214.0"/>
    <s v="-16.0"/>
    <s v="0.0"/>
    <s v="-16.0"/>
    <s v="198.0"/>
    <s v="0.0"/>
    <s v="198.0"/>
    <s v="0"/>
    <s v="-198.0"/>
    <s v="0.0"/>
    <s v="0.0"/>
    <s v="0.0"/>
    <s v="0.0"/>
    <s v="0.0"/>
    <s v="0.0"/>
    <s v="0.0"/>
    <s v="0.0"/>
    <s v="0.0"/>
    <s v="0.0"/>
    <s v="0.0"/>
    <s v="0.0"/>
    <s v="0.0"/>
    <s v="0.0"/>
    <s v="0.0"/>
    <s v="0.0"/>
    <s v="0.0"/>
    <s v="0.0"/>
    <s v="0.0"/>
    <s v="RAKC4V2600000002"/>
    <s v="2025-07-09 00:00:00.0"/>
    <s v="-198.0"/>
    <s v="143604"/>
    <s v="Punjab"/>
    <s v="143604"/>
    <s v="143604 – Jalandhar"/>
    <x v="35"/>
    <x v="17"/>
    <s v="329.0"/>
    <s v="false"/>
    <s v="0.1"/>
    <s v="0.198"/>
    <s v="NA"/>
    <s v="NA"/>
    <s v="NA"/>
    <s v="Dikshant"/>
    <s v="NA"/>
  </r>
  <r>
    <s v="08FHGPP4088D1Z1"/>
    <s v="OD335023683698923100"/>
    <s v="335023683698923100"/>
    <s v="&quot;&quot;&quot;Who Will Cry When You Die? Paperback, Robin Sharma&quot;&quot;&quot;"/>
    <s v="&quot;&quot;&quot;RBKGX8NRN7QCYDXP&quot;&quot;&quot;"/>
    <s v="&quot;&quot;&quot;SKU:WHO-WILL-CRY03&quot;&quot;&quot;"/>
    <x v="24"/>
    <s v="49011010"/>
    <s v="Sale"/>
    <x v="0"/>
    <s v="Postpaid"/>
    <s v="NON_FBF"/>
    <s v="2025-07-24 00:00:00"/>
    <x v="1"/>
    <s v="2025-07-24 00:00:00"/>
    <s v="1.0"/>
    <s v="IN-RJ"/>
    <s v="NA"/>
    <s v="94.0"/>
    <s v="0.0"/>
    <s v="0.0"/>
    <s v="0.0"/>
    <s v="94.0"/>
    <s v="0.0"/>
    <s v="94.0"/>
    <s v="0"/>
    <s v="94.0"/>
    <s v="0.0"/>
    <s v="0.0"/>
    <s v="0.0"/>
    <s v="0.0"/>
    <s v="0.0"/>
    <s v="0.0"/>
    <s v="0.0"/>
    <s v="0.0"/>
    <s v="0.0"/>
    <s v="0.0"/>
    <s v="0.0"/>
    <s v="0.0"/>
    <s v="0.0"/>
    <s v="0.0"/>
    <s v="0.0"/>
    <s v="0.0"/>
    <s v="0.0"/>
    <s v="0.0"/>
    <s v="0.0"/>
    <s v="FAMNXL2600000056"/>
    <s v="2025-07-25 00:00:00.0"/>
    <s v="94.0"/>
    <s v="360005"/>
    <s v="Gujarat"/>
    <s v="360005"/>
    <s v="360005 – Rajkot"/>
    <x v="16"/>
    <x v="11"/>
    <s v="199.0"/>
    <s v="false"/>
    <s v="0.1"/>
    <s v="0.094"/>
    <s v="NA"/>
    <s v="NA"/>
    <s v="NA"/>
    <s v="Popat Tanisha"/>
    <s v="NA"/>
  </r>
  <r>
    <s v="08FHGPP4088D1Z1"/>
    <s v="OD434840061715717100"/>
    <s v="434840061715717100"/>
    <s v="&quot;&quot;&quot;Can't Hurt Me Paperback, David Goggins&quot;&quot;&quot;"/>
    <s v="&quot;&quot;&quot;9781702780322&quot;&quot;&quot;"/>
    <s v="&quot;&quot;&quot;SKU:CANT&quot;&quot;&quot;"/>
    <x v="25"/>
    <s v="49011010"/>
    <s v="Sale"/>
    <x v="0"/>
    <s v="Prepaid"/>
    <s v="NON_FBF"/>
    <s v="2025-07-03 00:00:00"/>
    <x v="1"/>
    <s v="2025-07-03 00:00:00"/>
    <s v="1.0"/>
    <s v="IN-RJ"/>
    <s v="NA"/>
    <s v="128.0"/>
    <s v="0.0"/>
    <s v="0.0"/>
    <s v="0.0"/>
    <s v="128.0"/>
    <s v="0.0"/>
    <s v="128.0"/>
    <s v="0"/>
    <s v="128.0"/>
    <s v="0.0"/>
    <s v="0.0"/>
    <s v="0.0"/>
    <s v="0.0"/>
    <s v="0.0"/>
    <s v="0.0"/>
    <s v="0.0"/>
    <s v="0.0"/>
    <s v="0.0"/>
    <s v="0.0"/>
    <s v="0.0"/>
    <s v="0.0"/>
    <s v="0.0"/>
    <s v="0.0"/>
    <s v="0.0"/>
    <s v="0.0"/>
    <s v="0.0"/>
    <s v="0.0"/>
    <s v="0.0"/>
    <s v="FAMNXL2600000018"/>
    <s v="2025-07-04 00:00:00.0"/>
    <s v="128.0"/>
    <s v="507001"/>
    <s v="Telangana"/>
    <s v="507001"/>
    <s v="507001 – Khammam"/>
    <x v="36"/>
    <x v="14"/>
    <s v="NA"/>
    <s v="false"/>
    <s v="0.1"/>
    <s v="0.128"/>
    <s v="NA"/>
    <s v="NA"/>
    <s v="NA"/>
    <s v="Radhika"/>
    <s v="NA"/>
  </r>
  <r>
    <s v="08FHGPP4088D1Z1"/>
    <s v="OD334970961976888100"/>
    <s v="334970961976888100"/>
    <s v="&quot;&quot;&quot;Who Will Cry When You Die? Paperback, Robin Sharma Paperback, Robin Sharma&quot;&quot;&quot;"/>
    <s v="&quot;&quot;&quot;RBKHB9HJMHVREPGP&quot;&quot;&quot;"/>
    <s v="&quot;&quot;&quot;SKU:WHO-WILL-CRY01&quot;&quot;&quot;"/>
    <x v="26"/>
    <s v="49011010"/>
    <s v="Return"/>
    <x v="2"/>
    <s v="Postpaid"/>
    <s v="NON_FBF"/>
    <s v="2025-07-18 00:00:00"/>
    <x v="1"/>
    <s v="2025-07-18 00:00:00"/>
    <s v="1.0"/>
    <s v="IN-RJ"/>
    <s v="NA"/>
    <s v="87.0"/>
    <s v="-10.0"/>
    <s v="0.0"/>
    <s v="-10.0"/>
    <s v="77.0"/>
    <s v="0.0"/>
    <s v="77.0"/>
    <s v="0"/>
    <s v="-77.0"/>
    <s v="0.0"/>
    <s v="0.0"/>
    <s v="0.0"/>
    <s v="0.0"/>
    <s v="0.0"/>
    <s v="0.0"/>
    <s v="0.0"/>
    <s v="0.0"/>
    <s v="0.0"/>
    <s v="0.0"/>
    <s v="0.0"/>
    <s v="0.0"/>
    <s v="0.0"/>
    <s v="0.0"/>
    <s v="0.0"/>
    <s v="0.0"/>
    <s v="0.0"/>
    <s v="0.0"/>
    <s v="0.0"/>
    <s v="RAKC4V2600000006"/>
    <s v="2025-07-25 00:00:00.0"/>
    <s v="-77.0"/>
    <s v="791110"/>
    <s v="Arunachal Pradesh"/>
    <s v="791110"/>
    <s v="791110 – Tura"/>
    <x v="37"/>
    <x v="18"/>
    <s v="178.0"/>
    <s v="false"/>
    <s v="0.1"/>
    <s v="0.077"/>
    <s v="NA"/>
    <s v="NA"/>
    <s v="NA"/>
    <s v="Jitsar Siyum"/>
    <s v="NA"/>
  </r>
  <r>
    <s v="08FHGPP4088D1Z1"/>
    <s v="OD434845793292661100"/>
    <s v="434845793292661100"/>
    <s v="&quot;&quot;&quot;Energize Your Mind  - SELF MOTIVATED : Energize your mind by Gaur Gopal Dass English, Paperback, Das Gaur Gopal&quot;&quot;&quot;"/>
    <s v="&quot;&quot;&quot;9780143442288&quot;&quot;&quot;"/>
    <s v="&quot;&quot;&quot;SKU:ENERGIZE-YOUR-MIND&quot;&quot;&quot;"/>
    <x v="21"/>
    <s v="49011010"/>
    <s v="Sale"/>
    <x v="0"/>
    <s v="Prepaid"/>
    <s v="NON_FBF"/>
    <s v="2025-07-04 00:00:00"/>
    <x v="1"/>
    <s v="2025-07-04 00:00:00"/>
    <s v="1.0"/>
    <s v="IN-RJ"/>
    <s v="NA"/>
    <s v="113.0"/>
    <s v="0.0"/>
    <s v="0.0"/>
    <s v="0.0"/>
    <s v="113.0"/>
    <s v="0.0"/>
    <s v="113.0"/>
    <s v="0"/>
    <s v="113.0"/>
    <s v="0.0"/>
    <s v="0.0"/>
    <s v="0.0"/>
    <s v="0.0"/>
    <s v="0.0"/>
    <s v="0.0"/>
    <s v="0.0"/>
    <s v="0.0"/>
    <s v="0.0"/>
    <s v="0.0"/>
    <s v="0.0"/>
    <s v="0.0"/>
    <s v="0.0"/>
    <s v="0.0"/>
    <s v="0.0"/>
    <s v="0.0"/>
    <s v="0.0"/>
    <s v="0.0"/>
    <s v="0.0"/>
    <s v="FAMNXL2600000016"/>
    <s v="2025-07-04 00:00:00.0"/>
    <s v="113.0"/>
    <s v="306401"/>
    <s v="Rajasthan"/>
    <s v="306401"/>
    <s v="306401 – Udaipur"/>
    <x v="38"/>
    <x v="19"/>
    <s v="NA"/>
    <s v="false"/>
    <s v="0.1"/>
    <s v="0.113"/>
    <s v="NA"/>
    <s v="NA"/>
    <s v="NA"/>
    <s v="Sachin Chaudhary"/>
    <s v="NA"/>
  </r>
  <r>
    <s v="08FHGPP4088D1Z1"/>
    <s v="OD334863418748337100"/>
    <s v="334863418748337100"/>
    <s v="&quot;&quot;&quot;The 5 Am Club Paperback, Robin Sharma&quot;&quot;&quot;"/>
    <s v="&quot;&quot;&quot;RBKGT4UJ7UBGDZKQ&quot;&quot;&quot;"/>
    <s v="&quot;&quot;&quot;SKU:5AM-01&quot;&quot;&quot;"/>
    <x v="17"/>
    <s v="49011010"/>
    <s v="Sale"/>
    <x v="0"/>
    <s v="Prepaid"/>
    <s v="NON_FBF"/>
    <s v="2025-07-06 00:00:00"/>
    <x v="1"/>
    <s v="2025-07-06 00:00:00"/>
    <s v="1.0"/>
    <s v="IN-RJ"/>
    <s v="NA"/>
    <s v="118.0"/>
    <s v="0.0"/>
    <s v="0.0"/>
    <s v="0.0"/>
    <s v="118.0"/>
    <s v="0.0"/>
    <s v="118.0"/>
    <s v="0"/>
    <s v="118.0"/>
    <s v="0.0"/>
    <s v="0.0"/>
    <s v="0.0"/>
    <s v="0.0"/>
    <s v="0.0"/>
    <s v="0.0"/>
    <s v="0.0"/>
    <s v="0.0"/>
    <s v="0.0"/>
    <s v="0.0"/>
    <s v="0.0"/>
    <s v="0.0"/>
    <s v="0.0"/>
    <s v="0.0"/>
    <s v="0.0"/>
    <s v="0.0"/>
    <s v="0.0"/>
    <s v="0.0"/>
    <s v="0.0"/>
    <s v="FAMNXL2600000025"/>
    <s v="2025-07-06 00:00:00.0"/>
    <s v="118.0"/>
    <s v="140306"/>
    <s v="Punjab"/>
    <s v="140306"/>
    <s v="140306 – Ludhiana"/>
    <x v="39"/>
    <x v="17"/>
    <s v="259.0"/>
    <s v="false"/>
    <s v="0.1"/>
    <s v="0.118"/>
    <s v="NA"/>
    <s v="NA"/>
    <s v="NA"/>
    <s v="Jitesh"/>
    <s v="NA"/>
  </r>
  <r>
    <s v="08FHGPP4088D1Z1"/>
    <s v="OD334986381516786100"/>
    <s v="334986381516786100"/>
    <s v="&quot;&quot;&quot;Think And Grow Rich By Napoleon Hill-New Revised &amp; Updated Book Paperback, Napoleon Hill&quot;&quot;&quot;"/>
    <s v="&quot;&quot;&quot;RBKGHGEWFEXWJT3D&quot;&quot;&quot;"/>
    <s v="&quot;&quot;&quot;SKU:THANGRORICH&quot;&quot;&quot;"/>
    <x v="13"/>
    <s v="49011010"/>
    <s v="Sale"/>
    <x v="0"/>
    <s v="Postpaid"/>
    <s v="NON_FBF"/>
    <s v="2025-07-20 00:00:00"/>
    <x v="1"/>
    <s v="2025-07-20 00:00:00"/>
    <s v="1.0"/>
    <s v="IN-RJ"/>
    <s v="NA"/>
    <s v="126.0"/>
    <s v="0.0"/>
    <s v="0.0"/>
    <s v="0.0"/>
    <s v="126.0"/>
    <s v="0.0"/>
    <s v="126.0"/>
    <s v="0"/>
    <s v="126.0"/>
    <s v="0.0"/>
    <s v="0.0"/>
    <s v="0.0"/>
    <s v="0.0"/>
    <s v="0.0"/>
    <s v="0.0"/>
    <s v="0.0"/>
    <s v="0.0"/>
    <s v="0.0"/>
    <s v="0.0"/>
    <s v="0.0"/>
    <s v="0.0"/>
    <s v="0.0"/>
    <s v="0.0"/>
    <s v="0.0"/>
    <s v="0.0"/>
    <s v="0.0"/>
    <s v="0.0"/>
    <s v="0.0"/>
    <s v="FAMNXL2600000053"/>
    <s v="2025-07-21 00:00:00.0"/>
    <s v="126.0"/>
    <s v="501510"/>
    <s v="Telangana"/>
    <s v="501510"/>
    <s v="501510 – Hyderabad"/>
    <x v="34"/>
    <x v="14"/>
    <s v="249.0"/>
    <s v="false"/>
    <s v="0.1"/>
    <s v="0.126"/>
    <s v="NA"/>
    <s v="NA"/>
    <s v="NA"/>
    <s v="Chandra Shaker Reddy"/>
    <s v="NA"/>
  </r>
  <r>
    <s v="08FHGPP4088D1Z1"/>
    <s v="OD434869021690380100"/>
    <s v="434869021690380100"/>
    <s v="&quot;&quot;&quot;The Warren Buffett Way, Third Edition Paperback, THEWARRENBUFFET-1&quot;&quot;&quot;"/>
    <s v="&quot;&quot;&quot;RBKGTKP2MNMRMEZH&quot;&quot;&quot;"/>
    <s v="&quot;&quot;&quot;SKU:THEWARRENBUFFET-1&quot;&quot;&quot;"/>
    <x v="27"/>
    <s v="49011010"/>
    <s v="Sale"/>
    <x v="0"/>
    <s v="Prepaid"/>
    <s v="NON_FBF"/>
    <s v="2025-07-07 00:00:00"/>
    <x v="1"/>
    <s v="2025-07-07 00:00:00"/>
    <s v="1.0"/>
    <s v="IN-RJ"/>
    <s v="NA"/>
    <s v="188.0"/>
    <s v="0.0"/>
    <s v="0.0"/>
    <s v="0.0"/>
    <s v="188.0"/>
    <s v="0.0"/>
    <s v="188.0"/>
    <s v="0"/>
    <s v="188.0"/>
    <s v="0.0"/>
    <s v="0.0"/>
    <s v="0.0"/>
    <s v="0.0"/>
    <s v="0.0"/>
    <s v="0.0"/>
    <s v="0.0"/>
    <s v="0.0"/>
    <s v="0.0"/>
    <s v="0.0"/>
    <s v="0.0"/>
    <s v="0.0"/>
    <s v="0.0"/>
    <s v="0.0"/>
    <s v="0.0"/>
    <s v="0.0"/>
    <s v="0.0"/>
    <s v="0.0"/>
    <s v="0.0"/>
    <s v="FAMNXL2600000028"/>
    <s v="2025-07-07 00:00:00.0"/>
    <s v="188.0"/>
    <s v="823001"/>
    <s v="Bihar"/>
    <s v="823001"/>
    <s v="823001 – Bhagalpur"/>
    <x v="40"/>
    <x v="20"/>
    <s v="329.0"/>
    <s v="false"/>
    <s v="0.1"/>
    <s v="0.188"/>
    <s v="NA"/>
    <s v="NA"/>
    <s v="NA"/>
    <s v="Gufran Yaqub"/>
    <s v="NA"/>
  </r>
  <r>
    <s v="08FHGPP4088D1Z1"/>
    <s v="OD335023637351592100"/>
    <s v="335023637351592100"/>
    <s v="&quot;&quot;&quot;Rich Dad Poor Dad - Hindi Paperback, Robert T. Kiyosaki&quot;&quot;&quot;"/>
    <s v="&quot;&quot;&quot;9788551004913&quot;&quot;&quot;"/>
    <s v="&quot;&quot;&quot;SKU:RICH-DAD-HINDI03&quot;&quot;&quot;"/>
    <x v="20"/>
    <s v="49011010"/>
    <s v="Return"/>
    <x v="2"/>
    <s v="Postpaid"/>
    <s v="NON_FBF"/>
    <s v="2025-07-24 00:00:00"/>
    <x v="1"/>
    <s v="2025-07-24 00:00:00"/>
    <s v="1.0"/>
    <s v="IN-RJ"/>
    <s v="NA"/>
    <s v="93.0"/>
    <s v="0.0"/>
    <s v="0.0"/>
    <s v="0.0"/>
    <s v="93.0"/>
    <s v="0.0"/>
    <s v="93.0"/>
    <s v="0"/>
    <s v="-93.0"/>
    <s v="0.0"/>
    <s v="0.0"/>
    <s v="0.0"/>
    <s v="0.0"/>
    <s v="0.0"/>
    <s v="0.0"/>
    <s v="0.0"/>
    <s v="0.0"/>
    <s v="0.0"/>
    <s v="0.0"/>
    <s v="0.0"/>
    <s v="0.0"/>
    <s v="0.0"/>
    <s v="0.0"/>
    <s v="0.0"/>
    <s v="0.0"/>
    <s v="0.0"/>
    <s v="0.0"/>
    <s v="0.0"/>
    <s v="RAKC4V2600000010"/>
    <s v="2025-07-30 00:00:00.0"/>
    <s v="-93.0"/>
    <s v="231001"/>
    <s v="Uttar Pradesh"/>
    <s v="231001"/>
    <s v="231001 – Gorakhpur"/>
    <x v="30"/>
    <x v="10"/>
    <s v="NA"/>
    <s v="false"/>
    <s v="0.1"/>
    <s v="0.093"/>
    <s v="NA"/>
    <s v="NA"/>
    <s v="NA"/>
    <s v="Akash Tyagi"/>
    <s v="NA"/>
  </r>
  <r>
    <s v="08FHGPP4088D1Z1"/>
    <s v="OD434857085931239100"/>
    <s v="434857085931239104"/>
    <s v="&quot;&quot;&quot;The 7 Habits Of Highly Effective People Paperback, stephen r. convey&quot;&quot;&quot;"/>
    <s v="&quot;&quot;&quot;RBKGQZBZQYQMP6JE&quot;&quot;&quot;"/>
    <s v="&quot;&quot;&quot;SKU:7HABITS07&quot;&quot;&quot;"/>
    <x v="16"/>
    <s v="49011010"/>
    <s v="Sale"/>
    <x v="0"/>
    <s v="Prepaid"/>
    <s v="NON_FBF"/>
    <s v="2025-07-05 00:00:00"/>
    <x v="1"/>
    <s v="2025-07-05 00:00:00"/>
    <s v="1.0"/>
    <s v="IN-RJ"/>
    <s v="NA"/>
    <s v="138.0"/>
    <s v="-12.0"/>
    <s v="0.0"/>
    <s v="-12.0"/>
    <s v="126.0"/>
    <s v="0.0"/>
    <s v="126.0"/>
    <s v="0"/>
    <s v="126.0"/>
    <s v="0.0"/>
    <s v="0.0"/>
    <s v="0.0"/>
    <s v="0.0"/>
    <s v="0.0"/>
    <s v="0.0"/>
    <s v="0.0"/>
    <s v="0.0"/>
    <s v="0.0"/>
    <s v="0.0"/>
    <s v="0.0"/>
    <s v="0.0"/>
    <s v="0.0"/>
    <s v="0.0"/>
    <s v="0.0"/>
    <s v="0.0"/>
    <s v="0.0"/>
    <s v="0.0"/>
    <s v="0.0"/>
    <s v="FAMNXL2600000024"/>
    <s v="2025-07-06 00:00:00.0"/>
    <s v="126.0"/>
    <s v="160003"/>
    <s v="Chandigarh"/>
    <s v="160003"/>
    <s v="160003 – Chandigarh"/>
    <x v="7"/>
    <x v="6"/>
    <s v="299.0"/>
    <s v="false"/>
    <s v="0.1"/>
    <s v="0.126"/>
    <s v="NA"/>
    <s v="NA"/>
    <s v="NA"/>
    <s v="Rakesh Yadav"/>
    <s v="NA"/>
  </r>
  <r>
    <s v="08FHGPP4088D1Z1"/>
    <s v="OD434844166781220100"/>
    <s v="434844166781220100"/>
    <s v="&quot;&quot;&quot;The Psychology of Money + The 5 AM Club 2 Book Combo Paperback, JMD BOOKS&quot;&quot;&quot;"/>
    <s v="&quot;&quot;&quot;9788459836142&quot;&quot;&quot;"/>
    <s v="&quot;&quot;&quot;SKU:PSYCH-5AM&quot;&quot;&quot;"/>
    <x v="28"/>
    <s v="49011010"/>
    <s v="Sale"/>
    <x v="0"/>
    <s v="Prepaid"/>
    <s v="NON_FBF"/>
    <s v="2025-07-04 00:00:00"/>
    <x v="1"/>
    <s v="2025-07-04 00:00:00"/>
    <s v="1.0"/>
    <s v="IN-RJ"/>
    <s v="NA"/>
    <s v="234.0"/>
    <s v="-16.0"/>
    <s v="0.0"/>
    <s v="-16.0"/>
    <s v="218.0"/>
    <s v="0.0"/>
    <s v="218.0"/>
    <s v="0"/>
    <s v="218.0"/>
    <s v="0.0"/>
    <s v="0.0"/>
    <s v="0.0"/>
    <s v="0.0"/>
    <s v="0.0"/>
    <s v="0.0"/>
    <s v="0.0"/>
    <s v="0.0"/>
    <s v="0.0"/>
    <s v="0.0"/>
    <s v="0.0"/>
    <s v="0.0"/>
    <s v="0.0"/>
    <s v="0.0"/>
    <s v="0.0"/>
    <s v="0.0"/>
    <s v="0.0"/>
    <s v="0.0"/>
    <s v="0.0"/>
    <s v="FAMNXL2600000014"/>
    <s v="2025-07-04 00:00:00.0"/>
    <s v="218.0"/>
    <s v="400093"/>
    <s v="Maharashtra"/>
    <s v="400093"/>
    <s v="400093 – Mumbai"/>
    <x v="33"/>
    <x v="3"/>
    <s v="NA"/>
    <s v="false"/>
    <s v="0.1"/>
    <s v="0.218"/>
    <s v="NA"/>
    <s v="NA"/>
    <s v="NA"/>
    <s v="Mohit Agrawal"/>
    <s v="NA"/>
  </r>
  <r>
    <s v="08FHGPP4088D1Z1"/>
    <s v="OD434859016258708100"/>
    <s v="434859016258708101"/>
    <s v="&quot;&quot;&quot;Do Epic Shit Paperback, Warikoo Ankur&quot;&quot;&quot;"/>
    <s v="&quot;&quot;&quot;RBKHCX5KF3APA2GH&quot;&quot;&quot;"/>
    <s v="&quot;&quot;&quot;SKU:DO-EPIC-SHIT03&quot;&quot;&quot;"/>
    <x v="29"/>
    <s v="49011010"/>
    <s v="Sale"/>
    <x v="0"/>
    <s v="Prepaid"/>
    <s v="NON_FBF"/>
    <s v="2025-07-05 00:00:00"/>
    <x v="1"/>
    <s v="2025-07-05 00:00:00"/>
    <s v="1.0"/>
    <s v="IN-RJ"/>
    <s v="NA"/>
    <s v="108.0"/>
    <s v="0.0"/>
    <s v="0.0"/>
    <s v="0.0"/>
    <s v="108.0"/>
    <s v="0.0"/>
    <s v="108.0"/>
    <s v="0"/>
    <s v="108.0"/>
    <s v="0.0"/>
    <s v="0.0"/>
    <s v="0.0"/>
    <s v="0.0"/>
    <s v="0.0"/>
    <s v="0.0"/>
    <s v="0.0"/>
    <s v="0.0"/>
    <s v="0.0"/>
    <s v="0.0"/>
    <s v="0.0"/>
    <s v="0.0"/>
    <s v="0.0"/>
    <s v="0.0"/>
    <s v="0.0"/>
    <s v="0.0"/>
    <s v="0.0"/>
    <s v="0.0"/>
    <s v="0.0"/>
    <s v="FAMNXL2600000023"/>
    <s v="2025-07-06 00:00:00.0"/>
    <s v="108.0"/>
    <s v="110016"/>
    <s v="Delhi"/>
    <s v="110016"/>
    <s v="110016 – New Delhi"/>
    <x v="41"/>
    <x v="21"/>
    <s v="219.0"/>
    <s v="false"/>
    <s v="0.1"/>
    <s v="0.108"/>
    <s v="NA"/>
    <s v="NA"/>
    <s v="NA"/>
    <s v="Kriti Sardana"/>
    <s v="NA"/>
  </r>
  <r>
    <s v="08FHGPP4088D1Z1"/>
    <s v="OD434865972890453100"/>
    <s v="434865972890453100"/>
    <s v="&quot;&quot;&quot;Who will cry when you Die + Mindset 2 Book Coombo Paperback, JMD BOOKS&quot;&quot;&quot;"/>
    <s v="&quot;&quot;&quot;9789516015418&quot;&quot;&quot;"/>
    <s v="&quot;&quot;&quot;SKU:WHO-MINDSET&quot;&quot;&quot;"/>
    <x v="23"/>
    <s v="49011010"/>
    <s v="Sale"/>
    <x v="0"/>
    <s v="Postpaid"/>
    <s v="NON_FBF"/>
    <s v="2025-07-06 00:00:00"/>
    <x v="1"/>
    <s v="2025-07-06 00:00:00"/>
    <s v="1.0"/>
    <s v="IN-RJ"/>
    <s v="NA"/>
    <s v="214.0"/>
    <s v="-16.0"/>
    <s v="0.0"/>
    <s v="-16.0"/>
    <s v="198.0"/>
    <s v="0.0"/>
    <s v="198.0"/>
    <s v="0"/>
    <s v="198.0"/>
    <s v="0.0"/>
    <s v="0.0"/>
    <s v="0.0"/>
    <s v="0.0"/>
    <s v="0.0"/>
    <s v="0.0"/>
    <s v="0.0"/>
    <s v="0.0"/>
    <s v="0.0"/>
    <s v="0.0"/>
    <s v="0.0"/>
    <s v="0.0"/>
    <s v="0.0"/>
    <s v="0.0"/>
    <s v="0.0"/>
    <s v="0.0"/>
    <s v="0.0"/>
    <s v="0.0"/>
    <s v="0.0"/>
    <s v="FAMNXL2600000029"/>
    <s v="2025-07-07 00:00:00.0"/>
    <s v="198.0"/>
    <s v="143604"/>
    <s v="Punjab"/>
    <s v="143604"/>
    <s v="143604 – Jalandhar"/>
    <x v="35"/>
    <x v="17"/>
    <s v="329.0"/>
    <s v="false"/>
    <s v="0.1"/>
    <s v="0.198"/>
    <s v="NA"/>
    <s v="NA"/>
    <s v="NA"/>
    <s v="Dikshant"/>
    <s v="NA"/>
  </r>
  <r>
    <s v="08FHGPP4088D1Z1"/>
    <s v="OD334854624775675100"/>
    <s v="334854624775675101"/>
    <s v="&quot;&quot;&quot;The 7 Habits Of Highly Effective People Paperback, stephen r. convey&quot;&quot;&quot;"/>
    <s v="&quot;&quot;&quot;RBKGQZBZQYQMP6JE&quot;&quot;&quot;"/>
    <s v="&quot;&quot;&quot;SKU:7HABITS07&quot;&quot;&quot;"/>
    <x v="16"/>
    <s v="49011010"/>
    <s v="Sale"/>
    <x v="0"/>
    <s v="Postpaid"/>
    <s v="NON_FBF"/>
    <s v="2025-07-05 00:00:00"/>
    <x v="1"/>
    <s v="2025-07-05 00:00:00"/>
    <s v="1.0"/>
    <s v="IN-RJ"/>
    <s v="NA"/>
    <s v="138.0"/>
    <s v="0.0"/>
    <s v="0.0"/>
    <s v="0.0"/>
    <s v="138.0"/>
    <s v="0.0"/>
    <s v="138.0"/>
    <s v="0"/>
    <s v="138.0"/>
    <s v="0.0"/>
    <s v="0.0"/>
    <s v="0.0"/>
    <s v="0.0"/>
    <s v="0.0"/>
    <s v="0.0"/>
    <s v="0.0"/>
    <s v="0.0"/>
    <s v="0.0"/>
    <s v="0.0"/>
    <s v="0.0"/>
    <s v="0.0"/>
    <s v="0.0"/>
    <s v="0.0"/>
    <s v="0.0"/>
    <s v="0.0"/>
    <s v="0.0"/>
    <s v="0.0"/>
    <s v="0.0"/>
    <s v="FAMNXL2600000021"/>
    <s v="2025-07-05 00:00:00.0"/>
    <s v="138.0"/>
    <s v="422101"/>
    <s v="Maharashtra"/>
    <s v="422101"/>
    <s v="422101 – Nashik"/>
    <x v="42"/>
    <x v="3"/>
    <s v="299.0"/>
    <s v="false"/>
    <s v="0.1"/>
    <s v="0.138"/>
    <s v="NA"/>
    <s v="NA"/>
    <s v="NA"/>
    <s v="Shrividya Hujband"/>
    <s v="NA"/>
  </r>
  <r>
    <s v="08FHGPP4088D1Z1"/>
    <s v="OD334881167457976100"/>
    <s v="334881167457976100"/>
    <s v="&quot;&quot;&quot;Energize Your Mind  - SELF MOTIVATED : Energize your mind by Gaur Gopal Dass English, Paperback, Das Gaur Gopal&quot;&quot;&quot;"/>
    <s v="&quot;&quot;&quot;9780143442288&quot;&quot;&quot;"/>
    <s v="&quot;&quot;&quot;SKU:ENERGIZE-YOUR-MIND&quot;&quot;&quot;"/>
    <x v="21"/>
    <s v="49011010"/>
    <s v="Sale"/>
    <x v="0"/>
    <s v="Postpaid"/>
    <s v="NON_FBF"/>
    <s v="2025-07-08 00:00:00"/>
    <x v="1"/>
    <s v="2025-07-08 00:00:00"/>
    <s v="1.0"/>
    <s v="IN-RJ"/>
    <s v="NA"/>
    <s v="113.0"/>
    <s v="-11.0"/>
    <s v="0.0"/>
    <s v="-11.0"/>
    <s v="102.0"/>
    <s v="0.0"/>
    <s v="102.0"/>
    <s v="0"/>
    <s v="102.0"/>
    <s v="0.0"/>
    <s v="0.0"/>
    <s v="0.0"/>
    <s v="0.0"/>
    <s v="0.0"/>
    <s v="0.0"/>
    <s v="0.0"/>
    <s v="0.0"/>
    <s v="0.0"/>
    <s v="0.0"/>
    <s v="0.0"/>
    <s v="0.0"/>
    <s v="0.0"/>
    <s v="0.0"/>
    <s v="0.0"/>
    <s v="0.0"/>
    <s v="0.0"/>
    <s v="0.0"/>
    <s v="0.0"/>
    <s v="FAMNXL2600000032"/>
    <s v="2025-07-08 00:00:00.0"/>
    <s v="102.0"/>
    <s v="794106"/>
    <s v="Meghalaya"/>
    <s v="794106"/>
    <s v="794106 - Shillong"/>
    <x v="31"/>
    <x v="15"/>
    <s v="NA"/>
    <s v="false"/>
    <s v="0.1"/>
    <s v="0.102"/>
    <s v="NA"/>
    <s v="NA"/>
    <s v="NA"/>
    <s v="Mahmud Zaman"/>
    <s v="NA"/>
  </r>
  <r>
    <s v="08FHGPP4088D1Z1"/>
    <s v="OD434937154161637100"/>
    <s v="434937154161637100"/>
    <s v="&quot;&quot;&quot;Think And Grow Rich By Napoleon Hill-New Revised &amp; Updated Book Paperback, Napoleon Hill&quot;&quot;&quot;"/>
    <s v="&quot;&quot;&quot;RBKGHGEWFEXWJT3D&quot;&quot;&quot;"/>
    <s v="&quot;&quot;&quot;SKU:THANGRORICH&quot;&quot;&quot;"/>
    <x v="13"/>
    <s v="49011010"/>
    <s v="Return"/>
    <x v="2"/>
    <s v="Prepaid"/>
    <s v="NON_FBF"/>
    <s v="2025-07-14 00:00:00"/>
    <x v="1"/>
    <s v="2025-07-14 00:00:00"/>
    <s v="1.0"/>
    <s v="IN-RJ"/>
    <s v="NA"/>
    <s v="126.0"/>
    <s v="0.0"/>
    <s v="0.0"/>
    <s v="0.0"/>
    <s v="126.0"/>
    <s v="0.0"/>
    <s v="126.0"/>
    <s v="0"/>
    <s v="-126.0"/>
    <s v="0.0"/>
    <s v="0.0"/>
    <s v="0.0"/>
    <s v="0.0"/>
    <s v="0.0"/>
    <s v="0.0"/>
    <s v="0.0"/>
    <s v="0.0"/>
    <s v="0.0"/>
    <s v="0.0"/>
    <s v="0.0"/>
    <s v="0.0"/>
    <s v="0.0"/>
    <s v="0.0"/>
    <s v="0.0"/>
    <s v="0.0"/>
    <s v="0.0"/>
    <s v="0.0"/>
    <s v="0.0"/>
    <s v="RAKC4V2600000009"/>
    <s v="2025-07-27 00:00:00.0"/>
    <s v="-126.0"/>
    <s v="400053"/>
    <s v="Maharashtra"/>
    <s v="400053"/>
    <s v="400053 - Mumbai"/>
    <x v="33"/>
    <x v="3"/>
    <s v="249.0"/>
    <s v="false"/>
    <s v="0.1"/>
    <s v="0.126"/>
    <s v="NA"/>
    <s v="NA"/>
    <s v="NA"/>
    <s v="Aanya Tiwari"/>
    <s v="NA"/>
  </r>
  <r>
    <s v="08FHGPP4088D1Z1"/>
    <s v="OD334864498030796100"/>
    <s v="334864498030796100"/>
    <s v="&quot;&quot;&quot;Can't Hurt Me: Master Your Mind And Defy The Odds Paperback, David Goggins&quot;&quot;&quot;"/>
    <s v="&quot;&quot;&quot;RBKHC37VJ2Q658FH&quot;&quot;&quot;"/>
    <s v="&quot;&quot;&quot;SKU:CANT-ME&quot;&quot;&quot;"/>
    <x v="0"/>
    <s v="49011010"/>
    <s v="Sale"/>
    <x v="0"/>
    <s v="Prepaid"/>
    <s v="NON_FBF"/>
    <s v="2025-07-06 00:00:00"/>
    <x v="1"/>
    <s v="2025-07-06 00:00:00"/>
    <s v="1.0"/>
    <s v="IN-RJ"/>
    <s v="NA"/>
    <s v="128.0"/>
    <s v="0.0"/>
    <s v="0.0"/>
    <s v="0.0"/>
    <s v="128.0"/>
    <s v="0.0"/>
    <s v="128.0"/>
    <s v="0"/>
    <s v="128.0"/>
    <s v="0.0"/>
    <s v="0.0"/>
    <s v="0.0"/>
    <s v="0.0"/>
    <s v="0.0"/>
    <s v="0.0"/>
    <s v="0.0"/>
    <s v="0.0"/>
    <s v="0.0"/>
    <s v="0.0"/>
    <s v="0.0"/>
    <s v="0.0"/>
    <s v="0.0"/>
    <s v="0.0"/>
    <s v="0.0"/>
    <s v="0.0"/>
    <s v="0.0"/>
    <s v="0.0"/>
    <s v="0.0"/>
    <s v="FAMNXL2600000027"/>
    <s v="2025-07-06 00:00:00.0"/>
    <s v="128.0"/>
    <s v="582101"/>
    <s v="Karnataka"/>
    <s v="582101"/>
    <s v="582101 - Gadag"/>
    <x v="43"/>
    <x v="0"/>
    <s v="NA"/>
    <s v="false"/>
    <s v="0.1"/>
    <s v="0.128"/>
    <s v="NA"/>
    <s v="NA"/>
    <s v="NA"/>
    <s v="Maruti Kampli"/>
    <s v="NA"/>
  </r>
  <r>
    <s v="08FHGPP4088D1Z1"/>
    <s v="OD334854432596949100"/>
    <s v="334854432596949100"/>
    <s v="&quot;&quot;&quot;The 7 Habits Of Highly Effective People Paperback, stephen r. convey&quot;&quot;&quot;"/>
    <s v="&quot;&quot;&quot;RBKGQP4FVXUN4VHY&quot;&quot;&quot;"/>
    <s v="&quot;&quot;&quot;SKU:THE7HABITS12&quot;&quot;&quot;"/>
    <x v="12"/>
    <s v="49011010"/>
    <s v="Sale"/>
    <x v="0"/>
    <s v="Prepaid"/>
    <s v="NON_FBF"/>
    <s v="2025-07-05 00:00:00"/>
    <x v="1"/>
    <s v="2025-07-05 00:00:00"/>
    <s v="1.0"/>
    <s v="IN-RJ"/>
    <s v="NA"/>
    <s v="138.0"/>
    <s v="-2.0"/>
    <s v="0.0"/>
    <s v="-2.0"/>
    <s v="136.0"/>
    <s v="0.0"/>
    <s v="136.0"/>
    <s v="0"/>
    <s v="136.0"/>
    <s v="0.0"/>
    <s v="0.0"/>
    <s v="0.0"/>
    <s v="0.0"/>
    <s v="0.0"/>
    <s v="0.0"/>
    <s v="0.0"/>
    <s v="0.0"/>
    <s v="0.0"/>
    <s v="0.0"/>
    <s v="0.0"/>
    <s v="0.0"/>
    <s v="0.0"/>
    <s v="0.0"/>
    <s v="0.0"/>
    <s v="0.0"/>
    <s v="0.0"/>
    <s v="0.0"/>
    <s v="0.0"/>
    <s v="FAMNXL2600000019"/>
    <s v="2025-07-05 00:00:00.0"/>
    <s v="136.0"/>
    <s v="412106"/>
    <s v="Maharashtra"/>
    <s v="412106"/>
    <s v="412106 - Pune"/>
    <x v="3"/>
    <x v="3"/>
    <s v="289.0"/>
    <s v="false"/>
    <s v="0.1"/>
    <s v="0.136"/>
    <s v="NA"/>
    <s v="NA"/>
    <s v="NA"/>
    <s v="Raziya Pathan"/>
    <s v="NA"/>
  </r>
  <r>
    <s v="08FHGPP4088D1Z1"/>
    <s v="OD335041842560596100"/>
    <s v="335041842560596100"/>
    <s v="&quot;&quot;&quot;Doglapan: The Hard Truth about Life and Start-Ups Paperback, Ashneer Grover&quot;&quot;&quot;"/>
    <s v="&quot;&quot;&quot;9784843638217&quot;&quot;&quot;"/>
    <s v="&quot;&quot;&quot;SKU:DOGLAPAN03&quot;&quot;&quot;"/>
    <x v="30"/>
    <s v="49011010"/>
    <s v="Return"/>
    <x v="2"/>
    <s v="Postpaid"/>
    <s v="NON_FBF"/>
    <s v="2025-07-27 00:00:00"/>
    <x v="1"/>
    <s v="2025-07-27 00:00:00"/>
    <s v="1.0"/>
    <s v="IN-RJ"/>
    <s v="NA"/>
    <s v="136.0"/>
    <s v="0.0"/>
    <s v="0.0"/>
    <s v="0.0"/>
    <s v="136.0"/>
    <s v="0.0"/>
    <s v="136.0"/>
    <s v="0"/>
    <s v="-136.0"/>
    <s v="0.0"/>
    <s v="0.0"/>
    <s v="0.0"/>
    <s v="0.0"/>
    <s v="0.0"/>
    <s v="0.0"/>
    <s v="0.0"/>
    <s v="0.0"/>
    <s v="0.0"/>
    <s v="0.0"/>
    <s v="0.0"/>
    <s v="0.0"/>
    <s v="0.0"/>
    <s v="0.0"/>
    <s v="0.0"/>
    <s v="0.0"/>
    <s v="0.0"/>
    <s v="0.0"/>
    <s v="0.0"/>
    <s v="RAKC4V2600000008"/>
    <s v="2025-07-27 00:00:00.0"/>
    <s v="-136.0"/>
    <s v="711226"/>
    <s v="West Bengal"/>
    <s v="711226"/>
    <s v="711226 - Howrah"/>
    <x v="44"/>
    <x v="9"/>
    <s v="204.0"/>
    <s v="false"/>
    <s v="0.1"/>
    <s v="0.136"/>
    <s v="NA"/>
    <s v="NA"/>
    <s v="NA"/>
    <s v="Soumya Ganguly"/>
    <s v="NA"/>
  </r>
  <r>
    <s v="08FHGPP4088D1Z1"/>
    <s v="OD335041842560596100"/>
    <s v="335041842560596100"/>
    <s v="&quot;&quot;&quot;Doglapan: The Hard Truth about Life and Start-Ups Paperback, Ashneer Grover&quot;&quot;&quot;"/>
    <s v="&quot;&quot;&quot;9784843638217&quot;&quot;&quot;"/>
    <s v="&quot;&quot;&quot;SKU:DOGLAPAN03&quot;&quot;&quot;"/>
    <x v="30"/>
    <s v="49011010"/>
    <s v="Sale"/>
    <x v="0"/>
    <s v="Postpaid"/>
    <s v="NON_FBF"/>
    <s v="2025-07-27 00:00:00"/>
    <x v="1"/>
    <s v="2025-07-27 00:00:00"/>
    <s v="1.0"/>
    <s v="IN-RJ"/>
    <s v="NA"/>
    <s v="136.0"/>
    <s v="0.0"/>
    <s v="0.0"/>
    <s v="0.0"/>
    <s v="136.0"/>
    <s v="0.0"/>
    <s v="136.0"/>
    <s v="0"/>
    <s v="136.0"/>
    <s v="0.0"/>
    <s v="0.0"/>
    <s v="0.0"/>
    <s v="0.0"/>
    <s v="0.0"/>
    <s v="0.0"/>
    <s v="0.0"/>
    <s v="0.0"/>
    <s v="0.0"/>
    <s v="0.0"/>
    <s v="0.0"/>
    <s v="0.0"/>
    <s v="0.0"/>
    <s v="0.0"/>
    <s v="0.0"/>
    <s v="0.0"/>
    <s v="0.0"/>
    <s v="0.0"/>
    <s v="0.0"/>
    <s v="FAMNXL2600000059"/>
    <s v="2025-07-27 00:00:00.0"/>
    <s v="136.0"/>
    <s v="711226"/>
    <s v="West Bengal"/>
    <s v="711226"/>
    <s v="711226 – Howrah"/>
    <x v="44"/>
    <x v="9"/>
    <s v="204.0"/>
    <s v="false"/>
    <s v="0.1"/>
    <s v="0.136"/>
    <s v="NA"/>
    <s v="NA"/>
    <s v="NA"/>
    <s v="Soumya Ganguly"/>
    <s v="NA"/>
  </r>
  <r>
    <s v="08FHGPP4088D1Z1"/>
    <s v="OD334970961976888100"/>
    <s v="334970961976888100"/>
    <s v="&quot;&quot;&quot;Who Will Cry When You Die? Paperback, Robin Sharma Paperback, Robin Sharma&quot;&quot;&quot;"/>
    <s v="&quot;&quot;&quot;RBKHB9HJMHVREPGP&quot;&quot;&quot;"/>
    <s v="&quot;&quot;&quot;SKU:WHO-WILL-CRY01&quot;&quot;&quot;"/>
    <x v="26"/>
    <s v="49011010"/>
    <s v="Sale"/>
    <x v="0"/>
    <s v="Postpaid"/>
    <s v="NON_FBF"/>
    <s v="2025-07-18 00:00:00"/>
    <x v="1"/>
    <s v="2025-07-18 00:00:00"/>
    <s v="1.0"/>
    <s v="IN-RJ"/>
    <s v="NA"/>
    <s v="87.0"/>
    <s v="-10.0"/>
    <s v="0.0"/>
    <s v="-10.0"/>
    <s v="77.0"/>
    <s v="0.0"/>
    <s v="77.0"/>
    <s v="0"/>
    <s v="77.0"/>
    <s v="0.0"/>
    <s v="0.0"/>
    <s v="0.0"/>
    <s v="0.0"/>
    <s v="0.0"/>
    <s v="0.0"/>
    <s v="0.0"/>
    <s v="0.0"/>
    <s v="0.0"/>
    <s v="0.0"/>
    <s v="0.0"/>
    <s v="0.0"/>
    <s v="0.0"/>
    <s v="0.0"/>
    <s v="0.0"/>
    <s v="0.0"/>
    <s v="0.0"/>
    <s v="0.0"/>
    <s v="0.0"/>
    <s v="FAMNXL2600000049"/>
    <s v="2025-07-19 00:00:00.0"/>
    <s v="77.0"/>
    <s v="791110"/>
    <s v="Arunachal Pradesh"/>
    <s v="791110"/>
    <s v="791110 – Tura"/>
    <x v="37"/>
    <x v="18"/>
    <s v="178.0"/>
    <s v="false"/>
    <s v="0.1"/>
    <s v="0.077"/>
    <s v="NA"/>
    <s v="NA"/>
    <s v="NA"/>
    <s v="Jitsar Siyum"/>
    <s v="NA"/>
  </r>
  <r>
    <s v="08FHGPP4088D1Z1"/>
    <s v="OD434864148104370100"/>
    <s v="434864148104370100"/>
    <s v="&quot;&quot;&quot;Good To Great SOFTCOVER, JIM COLLINS&quot;&quot;&quot;"/>
    <s v="&quot;&quot;&quot;RBKFVGYXYVCMYWYF&quot;&quot;&quot;"/>
    <s v="&quot;&quot;&quot;SKU:GOTOGRE_02&quot;&quot;&quot;"/>
    <x v="31"/>
    <s v="49011010"/>
    <s v="Sale"/>
    <x v="0"/>
    <s v="Prepaid"/>
    <s v="NON_FBF"/>
    <s v="2025-07-06 00:00:00"/>
    <x v="1"/>
    <s v="2025-07-06 00:00:00"/>
    <s v="1.0"/>
    <s v="IN-RJ"/>
    <s v="NA"/>
    <s v="101.0"/>
    <s v="0.0"/>
    <s v="0.0"/>
    <s v="0.0"/>
    <s v="101.0"/>
    <s v="0.0"/>
    <s v="101.0"/>
    <s v="0"/>
    <s v="101.0"/>
    <s v="0.0"/>
    <s v="0.0"/>
    <s v="0.0"/>
    <s v="0.0"/>
    <s v="0.0"/>
    <s v="0.0"/>
    <s v="0.0"/>
    <s v="0.0"/>
    <s v="0.0"/>
    <s v="0.0"/>
    <s v="0.0"/>
    <s v="0.0"/>
    <s v="0.0"/>
    <s v="0.0"/>
    <s v="0.0"/>
    <s v="0.0"/>
    <s v="0.0"/>
    <s v="0.0"/>
    <s v="0.0"/>
    <s v="FAMNXL2600000026"/>
    <s v="2025-07-06 00:00:00.0"/>
    <s v="101.0"/>
    <s v="442202"/>
    <s v="Maharashtra"/>
    <s v="442202"/>
    <s v="442202 – Nagpur"/>
    <x v="10"/>
    <x v="3"/>
    <s v="271.0"/>
    <s v="false"/>
    <s v="0.1"/>
    <s v="0.101"/>
    <s v="NA"/>
    <s v="NA"/>
    <s v="NA"/>
    <s v="Pritam Sarode"/>
    <s v="NA"/>
  </r>
  <r>
    <s v="08FHGPP4088D1Z1"/>
    <s v="OD434848730878101100"/>
    <s v="434848730878101100"/>
    <s v="&quot;&quot;&quot;Good To Great SOFTCOVER, JIM COLLINS&quot;&quot;&quot;"/>
    <s v="&quot;&quot;&quot;RBKFVGYXYVCMYWYF&quot;&quot;&quot;"/>
    <s v="&quot;&quot;&quot;SKU:GOTOGRE_02&quot;&quot;&quot;"/>
    <x v="31"/>
    <s v="49011010"/>
    <s v="Sale"/>
    <x v="0"/>
    <s v="Postpaid"/>
    <s v="NON_FBF"/>
    <s v="2025-07-04 00:00:00"/>
    <x v="1"/>
    <s v="2025-07-04 00:00:00"/>
    <s v="1.0"/>
    <s v="IN-RJ"/>
    <s v="NA"/>
    <s v="101.0"/>
    <s v="0.0"/>
    <s v="0.0"/>
    <s v="0.0"/>
    <s v="101.0"/>
    <s v="0.0"/>
    <s v="101.0"/>
    <s v="0"/>
    <s v="101.0"/>
    <s v="0.0"/>
    <s v="0.0"/>
    <s v="0.0"/>
    <s v="0.0"/>
    <s v="0.0"/>
    <s v="0.0"/>
    <s v="0.0"/>
    <s v="0.0"/>
    <s v="0.0"/>
    <s v="0.0"/>
    <s v="0.0"/>
    <s v="0.0"/>
    <s v="0.0"/>
    <s v="0.0"/>
    <s v="0.0"/>
    <s v="0.0"/>
    <s v="0.0"/>
    <s v="0.0"/>
    <s v="0.0"/>
    <s v="FAMNXL2600000020"/>
    <s v="2025-07-05 00:00:00.0"/>
    <s v="101.0"/>
    <s v="533407"/>
    <s v="Andhra Pradesh"/>
    <s v="533407"/>
    <s v="533407 – Vijayawada"/>
    <x v="22"/>
    <x v="13"/>
    <s v="271.0"/>
    <s v="false"/>
    <s v="0.1"/>
    <s v="0.101"/>
    <s v="NA"/>
    <s v="NA"/>
    <s v="NA"/>
    <s v="Adarsh"/>
    <s v="NA"/>
  </r>
  <r>
    <s v="08FHGPP4088D1Z1"/>
    <s v="OD335190592152605100"/>
    <s v="335190592152605100"/>
    <s v="&quot;&quot;&quot;Doglapan Paperback, ASHEER GROVER&quot;&quot;&quot;"/>
    <s v="&quot;&quot;&quot;RBKGWNNGFHREGW5V&quot;&quot;&quot;"/>
    <s v="&quot;&quot;&quot;SKU:DOGLAPAN02&quot;&quot;&quot;"/>
    <x v="32"/>
    <s v="49011010"/>
    <s v="Sale"/>
    <x v="0"/>
    <s v="Prepaid"/>
    <s v="NON_FBF"/>
    <s v="2025-08-13 00:00:00"/>
    <x v="2"/>
    <s v="2025-08-13 00:00:00"/>
    <s v="1.0"/>
    <s v="IN-RJ"/>
    <s v="NA"/>
    <s v="124.0"/>
    <s v="-26.0"/>
    <s v="0.0"/>
    <s v="-26.0"/>
    <s v="98.0"/>
    <s v="0.0"/>
    <s v="98.0"/>
    <s v="0"/>
    <s v="98.0"/>
    <s v="0.0"/>
    <s v="0.0"/>
    <s v="0.0"/>
    <s v="0.0"/>
    <s v="0.0"/>
    <s v="0.0"/>
    <s v="0.0"/>
    <s v="0.0"/>
    <s v="0.0"/>
    <s v="0.0"/>
    <s v="0.0"/>
    <s v="0.0"/>
    <s v="0.0"/>
    <s v="0.0"/>
    <s v="0.0"/>
    <s v="0.0"/>
    <s v="0.0"/>
    <s v="0.0"/>
    <s v="0.0"/>
    <s v="FAMNXL2600000067"/>
    <s v="2025-08-13 00:00:00.0"/>
    <s v="98.0"/>
    <s v="400099"/>
    <s v="Maharashtra"/>
    <s v="400099"/>
    <s v="400099 – Mumbai"/>
    <x v="33"/>
    <x v="3"/>
    <s v="165.0"/>
    <s v="false"/>
    <s v="0.1"/>
    <s v="0.098"/>
    <s v="NA"/>
    <s v="NA"/>
    <s v="NA"/>
    <s v="Ajay Nikam"/>
    <s v="NA"/>
  </r>
  <r>
    <s v="08FHGPP4088D1Z1"/>
    <s v="OD335185485062824100"/>
    <s v="335185485062824100"/>
    <s v="&quot;&quot;&quot;The Alchemist English, Paperback, Paulo Coelho&quot;&quot;&quot;"/>
    <s v="&quot;&quot;&quot;9781512761689&quot;&quot;&quot;"/>
    <s v="&quot;&quot;&quot;SKU:ALCHEMIST01&quot;&quot;&quot;"/>
    <x v="1"/>
    <s v="49011010"/>
    <s v="Sale"/>
    <x v="0"/>
    <s v="Postpaid"/>
    <s v="NON_FBF"/>
    <s v="2025-08-12 00:00:00"/>
    <x v="2"/>
    <s v="2025-08-12 00:00:00"/>
    <s v="1.0"/>
    <s v="IN-RJ"/>
    <s v="NA"/>
    <s v="125.0"/>
    <s v="-16.0"/>
    <s v="0.0"/>
    <s v="-16.0"/>
    <s v="109.0"/>
    <s v="0.0"/>
    <s v="109.0"/>
    <s v="0"/>
    <s v="109.0"/>
    <s v="0.0"/>
    <s v="0.0"/>
    <s v="0.0"/>
    <s v="0.0"/>
    <s v="0.0"/>
    <s v="0.0"/>
    <s v="0.0"/>
    <s v="0.0"/>
    <s v="0.0"/>
    <s v="0.0"/>
    <s v="0.0"/>
    <s v="0.0"/>
    <s v="0.0"/>
    <s v="0.0"/>
    <s v="0.0"/>
    <s v="0.0"/>
    <s v="0.0"/>
    <s v="0.0"/>
    <s v="0.0"/>
    <s v="FAMNXL2600000066"/>
    <s v="2025-08-13 00:00:00.0"/>
    <s v="109.0"/>
    <s v="423110"/>
    <s v="Maharashtra"/>
    <s v="423110"/>
    <s v="423110 – Jalgaon"/>
    <x v="45"/>
    <x v="3"/>
    <s v="205.0"/>
    <s v="false"/>
    <s v="0.1"/>
    <s v="0.109"/>
    <s v="NA"/>
    <s v="NA"/>
    <s v="NA"/>
    <s v="Sneha Aher"/>
    <s v="NA"/>
  </r>
  <r>
    <s v="08FHGPP4088D1Z1"/>
    <s v="OD335142817879845100"/>
    <s v="335142817879845100"/>
    <s v="&quot;&quot;&quot;Rich Dad Poor Dad - Hindi Paperback, Robert T. Kiyosaki&quot;&quot;&quot;"/>
    <s v="&quot;&quot;&quot;9788551004913&quot;&quot;&quot;"/>
    <s v="&quot;&quot;&quot;SKU:RICH-DAD-HINDI03&quot;&quot;&quot;"/>
    <x v="20"/>
    <s v="49011010"/>
    <s v="Return"/>
    <x v="2"/>
    <s v="Postpaid"/>
    <s v="NON_FBF"/>
    <s v="2025-08-07 00:00:00"/>
    <x v="2"/>
    <s v="2025-08-07 00:00:00"/>
    <s v="1.0"/>
    <s v="IN-RJ"/>
    <s v="NA"/>
    <s v="135.0"/>
    <s v="-17.0"/>
    <s v="0.0"/>
    <s v="-17.0"/>
    <s v="118.0"/>
    <s v="0.0"/>
    <s v="118.0"/>
    <s v="0"/>
    <s v="-118.0"/>
    <s v="0.0"/>
    <s v="0.0"/>
    <s v="0.0"/>
    <s v="0.0"/>
    <s v="0.0"/>
    <s v="0.0"/>
    <s v="0.0"/>
    <s v="0.0"/>
    <s v="0.0"/>
    <s v="0.0"/>
    <s v="0.0"/>
    <s v="0.0"/>
    <s v="0.0"/>
    <s v="0.0"/>
    <s v="0.0"/>
    <s v="0.0"/>
    <s v="0.0"/>
    <s v="0.0"/>
    <s v="0.0"/>
    <s v="RAKC4V2600000011"/>
    <s v="2025-08-13 00:00:00.0"/>
    <s v="-118.0"/>
    <s v="803110"/>
    <s v="Bihar"/>
    <s v="803110"/>
    <s v="803110 - Bihar Sharif"/>
    <x v="46"/>
    <x v="20"/>
    <s v="124.0"/>
    <s v="false"/>
    <s v="0.1"/>
    <s v="0.118"/>
    <s v="NA"/>
    <s v="NA"/>
    <s v="NA"/>
    <s v="Dipanshukumar"/>
    <s v="NA"/>
  </r>
  <r>
    <s v="08FHGPP4088D1Z1"/>
    <s v="OD335098325997817100"/>
    <s v="335098325997817100"/>
    <s v="&quot;&quot;&quot;The Psychology of Money Paperback, Morgan Housel&quot;&quot;&quot;"/>
    <s v="&quot;&quot;&quot;9781804091043&quot;&quot;&quot;"/>
    <s v="&quot;&quot;&quot;SKU:PSYCH01&quot;&quot;&quot;"/>
    <x v="2"/>
    <s v="49011010"/>
    <s v="Sale"/>
    <x v="0"/>
    <s v="Postpaid"/>
    <s v="NON_FBF"/>
    <s v="2025-08-02 00:00:00"/>
    <x v="2"/>
    <s v="2025-08-02 00:00:00"/>
    <s v="1.0"/>
    <s v="IN-RJ"/>
    <s v="NA"/>
    <s v="119.0"/>
    <s v="-10.0"/>
    <s v="0.0"/>
    <s v="-10.0"/>
    <s v="109.0"/>
    <s v="0.0"/>
    <s v="109.0"/>
    <s v="0"/>
    <s v="109.0"/>
    <s v="0.0"/>
    <s v="0.0"/>
    <s v="0.0"/>
    <s v="0.0"/>
    <s v="0.0"/>
    <s v="0.0"/>
    <s v="0.0"/>
    <s v="0.0"/>
    <s v="0.0"/>
    <s v="0.0"/>
    <s v="0.0"/>
    <s v="0.0"/>
    <s v="0.0"/>
    <s v="0.0"/>
    <s v="0.0"/>
    <s v="0.0"/>
    <s v="0.0"/>
    <s v="0.0"/>
    <s v="0.0"/>
    <s v="FAMNXL2600000061"/>
    <s v="2025-08-02 00:00:00.0"/>
    <s v="109.0"/>
    <s v="221409"/>
    <s v="Uttar Pradesh"/>
    <s v="221409"/>
    <s v="221409 – Varanasi"/>
    <x v="47"/>
    <x v="10"/>
    <s v="140.0"/>
    <s v="false"/>
    <s v="0.1"/>
    <s v="0.109"/>
    <s v="NA"/>
    <s v="NA"/>
    <s v="NA"/>
    <s v="Shah Alam Ansari"/>
    <s v="NA"/>
  </r>
  <r>
    <s v="08FHGPP4088D1Z1"/>
    <s v="OD335118022917436100"/>
    <s v="335118022917436100"/>
    <s v="&quot;&quot;&quot;Rich Dad Poor Dad - Hindi Paperback, Robert T. Kiyosaki&quot;&quot;&quot;"/>
    <s v="&quot;&quot;&quot;9788551004913&quot;&quot;&quot;"/>
    <s v="&quot;&quot;&quot;SKU:RICH-DAD-HINDI03&quot;&quot;&quot;"/>
    <x v="20"/>
    <s v="49011010"/>
    <s v="Sale"/>
    <x v="0"/>
    <s v="Postpaid"/>
    <s v="NON_FBF"/>
    <s v="2025-08-04 00:00:00"/>
    <x v="2"/>
    <s v="2025-08-04 00:00:00"/>
    <s v="1.0"/>
    <s v="IN-RJ"/>
    <s v="NA"/>
    <s v="135.0"/>
    <s v="-17.0"/>
    <s v="0.0"/>
    <s v="-17.0"/>
    <s v="118.0"/>
    <s v="0.0"/>
    <s v="118.0"/>
    <s v="0"/>
    <s v="118.0"/>
    <s v="0.0"/>
    <s v="0.0"/>
    <s v="0.0"/>
    <s v="0.0"/>
    <s v="0.0"/>
    <s v="0.0"/>
    <s v="0.0"/>
    <s v="0.0"/>
    <s v="0.0"/>
    <s v="0.0"/>
    <s v="0.0"/>
    <s v="0.0"/>
    <s v="0.0"/>
    <s v="0.0"/>
    <s v="0.0"/>
    <s v="0.0"/>
    <s v="0.0"/>
    <s v="0.0"/>
    <s v="0.0"/>
    <s v="FAMNXL2600000062"/>
    <s v="2025-08-05 00:00:00.0"/>
    <s v="118.0"/>
    <s v="110034"/>
    <s v="Delhi"/>
    <s v="110034"/>
    <s v="110034 – New Delhi"/>
    <x v="41"/>
    <x v="21"/>
    <s v="124.0"/>
    <s v="false"/>
    <s v="0.1"/>
    <s v="0.118"/>
    <s v="NA"/>
    <s v="NA"/>
    <s v="NA"/>
    <s v="Ajai Nyma"/>
    <s v="NA"/>
  </r>
  <r>
    <s v="08FHGPP4088D1Z1"/>
    <s v="OD335212467491140100"/>
    <s v="335212467491140103"/>
    <s v="&quot;&quot;&quot;Karma English, Paperback, Sadhguru&quot;&quot;&quot;"/>
    <s v="&quot;&quot;&quot;9780143452676&quot;&quot;&quot;"/>
    <s v="&quot;&quot;&quot;SKU:KARMA-2&quot;&quot;&quot;"/>
    <x v="33"/>
    <s v="49011010"/>
    <s v="Sale"/>
    <x v="0"/>
    <s v="Prepaid"/>
    <s v="NON_FBF"/>
    <s v="2025-08-15 00:00:00"/>
    <x v="2"/>
    <s v="2025-08-15 00:00:00"/>
    <s v="1.0"/>
    <s v="IN-RJ"/>
    <s v="NA"/>
    <s v="155.0"/>
    <s v="-7.0"/>
    <s v="0.0"/>
    <s v="-7.0"/>
    <s v="148.0"/>
    <s v="0.0"/>
    <s v="148.0"/>
    <s v="0"/>
    <s v="148.0"/>
    <s v="0.0"/>
    <s v="0.0"/>
    <s v="0.0"/>
    <s v="0.0"/>
    <s v="0.0"/>
    <s v="0.0"/>
    <s v="0.0"/>
    <s v="0.0"/>
    <s v="0.0"/>
    <s v="0.0"/>
    <s v="0.0"/>
    <s v="0.0"/>
    <s v="0.0"/>
    <s v="0.0"/>
    <s v="0.0"/>
    <s v="0.0"/>
    <s v="0.0"/>
    <s v="0.0"/>
    <s v="0.0"/>
    <s v="FAMNXL2600000070"/>
    <s v="2025-08-17 00:00:00.0"/>
    <s v="148.0"/>
    <s v="504208"/>
    <s v="Telangana"/>
    <s v="504208"/>
    <s v="504208 – Adilabad"/>
    <x v="48"/>
    <x v="14"/>
    <s v="233.0"/>
    <s v="false"/>
    <s v="0.1"/>
    <s v="0.148"/>
    <s v="NA"/>
    <s v="NA"/>
    <s v="NA"/>
    <s v="Ranjith Kumar K"/>
    <s v="NA"/>
  </r>
  <r>
    <s v="08FHGPP4088D1Z1"/>
    <s v="OD335089274222513100"/>
    <s v="335089274222513100"/>
    <s v="&quot;&quot;&quot;Rich Dad Poor Dad - Hindi Paperback, Robert T. Kiyosaki&quot;&quot;&quot;"/>
    <s v="&quot;&quot;&quot;9788551004913&quot;&quot;&quot;"/>
    <s v="&quot;&quot;&quot;SKU:RICH-DAD-HINDI03&quot;&quot;&quot;"/>
    <x v="20"/>
    <s v="49011010"/>
    <s v="Sale"/>
    <x v="0"/>
    <s v="Postpaid"/>
    <s v="NON_FBF"/>
    <s v="2025-08-01 00:00:00"/>
    <x v="2"/>
    <s v="2025-08-01 00:00:00"/>
    <s v="1.0"/>
    <s v="IN-RJ"/>
    <s v="NA"/>
    <s v="93.0"/>
    <s v="0.0"/>
    <s v="0.0"/>
    <s v="0.0"/>
    <s v="93.0"/>
    <s v="0.0"/>
    <s v="93.0"/>
    <s v="0"/>
    <s v="93.0"/>
    <s v="0.0"/>
    <s v="0.0"/>
    <s v="0.0"/>
    <s v="0.0"/>
    <s v="0.0"/>
    <s v="0.0"/>
    <s v="0.0"/>
    <s v="0.0"/>
    <s v="0.0"/>
    <s v="0.0"/>
    <s v="0.0"/>
    <s v="0.0"/>
    <s v="0.0"/>
    <s v="0.0"/>
    <s v="0.0"/>
    <s v="0.0"/>
    <s v="0.0"/>
    <s v="0.0"/>
    <s v="0.0"/>
    <s v="FAMNXL2600000060"/>
    <s v="2025-08-01 00:00:00.0"/>
    <s v="93.0"/>
    <s v="136119"/>
    <s v="Haryana"/>
    <s v="136119"/>
    <s v="136119 – Ambala"/>
    <x v="49"/>
    <x v="22"/>
    <s v="124.0"/>
    <s v="false"/>
    <s v="0.1"/>
    <s v="0.093"/>
    <s v="NA"/>
    <s v="NA"/>
    <s v="NA"/>
    <s v="Surjeet Singh"/>
    <s v="NA"/>
  </r>
  <r>
    <s v="08FHGPP4088D1Z1"/>
    <s v="OD335178070584353100"/>
    <s v="335178070584353101"/>
    <s v="&quot;&quot;&quot;Who Will Cry When You Die? Paperback, Robin Sharma Paperback, Robin Sharma&quot;&quot;&quot;"/>
    <s v="&quot;&quot;&quot;RBKHB9HJMHVREPGP&quot;&quot;&quot;"/>
    <s v="&quot;&quot;&quot;SKU:WHO-WILL-CRY01&quot;&quot;&quot;"/>
    <x v="26"/>
    <s v="49011010"/>
    <s v="Sale"/>
    <x v="0"/>
    <s v="Prepaid"/>
    <s v="NON_FBF"/>
    <s v="2025-08-11 00:00:00"/>
    <x v="2"/>
    <s v="2025-08-11 00:00:00"/>
    <s v="1.0"/>
    <s v="IN-RJ"/>
    <s v="NA"/>
    <s v="109.0"/>
    <s v="0.0"/>
    <s v="0.0"/>
    <s v="0.0"/>
    <s v="109.0"/>
    <s v="0.0"/>
    <s v="109.0"/>
    <s v="0"/>
    <s v="109.0"/>
    <s v="0.0"/>
    <s v="0.0"/>
    <s v="0.0"/>
    <s v="0.0"/>
    <s v="0.0"/>
    <s v="0.0"/>
    <s v="0.0"/>
    <s v="0.0"/>
    <s v="0.0"/>
    <s v="0.0"/>
    <s v="0.0"/>
    <s v="0.0"/>
    <s v="0.0"/>
    <s v="0.0"/>
    <s v="0.0"/>
    <s v="0.0"/>
    <s v="0.0"/>
    <s v="0.0"/>
    <s v="0.0"/>
    <s v="FAMNXL2600000068"/>
    <s v="2025-08-17 00:00:00.0"/>
    <s v="109.0"/>
    <s v="673525"/>
    <s v="Kerala"/>
    <s v="673525"/>
    <s v="673525 – Kozhikode"/>
    <x v="50"/>
    <x v="12"/>
    <s v="178.0"/>
    <s v="false"/>
    <s v="0.1"/>
    <s v="0.109"/>
    <s v="NA"/>
    <s v="NA"/>
    <s v="NA"/>
    <s v="Dr Harikrishnan G"/>
    <s v="NA"/>
  </r>
  <r>
    <s v="08FHGPP4088D1Z1"/>
    <s v="OD335213047054512100"/>
    <s v="335213047054512100"/>
    <s v="&quot;&quot;&quot;Doglapan Paperback, ASHEER GROVER&quot;&quot;&quot;"/>
    <s v="&quot;&quot;&quot;RBKGWNNGFHREGW5V&quot;&quot;&quot;"/>
    <s v="&quot;&quot;&quot;SKU:DOGLAPAN02&quot;&quot;&quot;"/>
    <x v="32"/>
    <s v="49011010"/>
    <s v="Sale"/>
    <x v="0"/>
    <s v="Prepaid"/>
    <s v="NON_FBF"/>
    <s v="2025-08-15 00:00:00"/>
    <x v="2"/>
    <s v="2025-08-15 00:00:00"/>
    <s v="1.0"/>
    <s v="IN-RJ"/>
    <s v="NA"/>
    <s v="124.0"/>
    <s v="-20.0"/>
    <s v="0.0"/>
    <s v="-20.0"/>
    <s v="104.0"/>
    <s v="0.0"/>
    <s v="104.0"/>
    <s v="0"/>
    <s v="104.0"/>
    <s v="0.0"/>
    <s v="0.0"/>
    <s v="0.0"/>
    <s v="0.0"/>
    <s v="0.0"/>
    <s v="0.0"/>
    <s v="0.0"/>
    <s v="0.0"/>
    <s v="0.0"/>
    <s v="0.0"/>
    <s v="0.0"/>
    <s v="0.0"/>
    <s v="0.0"/>
    <s v="0.0"/>
    <s v="0.0"/>
    <s v="0.0"/>
    <s v="0.0"/>
    <s v="0.0"/>
    <s v="0.0"/>
    <s v="FAMNXL2600000069"/>
    <s v="2025-08-17 00:00:00.0"/>
    <s v="104.0"/>
    <s v="416414"/>
    <s v="Maharashtra"/>
    <s v="416414"/>
    <s v="416414 – Ratnagiri"/>
    <x v="15"/>
    <x v="3"/>
    <s v="165.0"/>
    <s v="false"/>
    <s v="0.1"/>
    <s v="0.104"/>
    <s v="NA"/>
    <s v="NA"/>
    <s v="NA"/>
    <s v="Ajay Nikam"/>
    <s v="NA"/>
  </r>
  <r>
    <s v="08FHGPP4088D1Z1"/>
    <s v="OD435241101822526100"/>
    <s v="435241101822526100"/>
    <s v="&quot;&quot;&quot;Do More Better English, Paperback, Challies Tim&quot;&quot;&quot;"/>
    <s v="&quot;&quot;&quot;9781941114179&quot;&quot;&quot;"/>
    <s v="&quot;&quot;&quot;SKU:DOMORE-4&quot;&quot;&quot;"/>
    <x v="34"/>
    <s v="49011010"/>
    <s v="Sale"/>
    <x v="0"/>
    <s v="Postpaid"/>
    <s v="NON_FBF"/>
    <s v="2025-08-19 00:00:00"/>
    <x v="2"/>
    <s v="2025-08-19 00:00:00"/>
    <s v="1.0"/>
    <s v="IN-RJ"/>
    <s v="NA"/>
    <s v="87.0"/>
    <s v="-10.0"/>
    <s v="0.0"/>
    <s v="-10.0"/>
    <s v="77.0"/>
    <s v="0.0"/>
    <s v="77.0"/>
    <s v="0"/>
    <s v="77.0"/>
    <s v="0.0"/>
    <s v="0.0"/>
    <s v="0.0"/>
    <s v="0.0"/>
    <s v="0.0"/>
    <s v="0.0"/>
    <s v="0.0"/>
    <s v="0.0"/>
    <s v="0.0"/>
    <s v="0.0"/>
    <s v="0.0"/>
    <s v="0.0"/>
    <s v="0.0"/>
    <s v="0.0"/>
    <s v="0.0"/>
    <s v="0.0"/>
    <s v="0.0"/>
    <s v="0.0"/>
    <s v="0.0"/>
    <s v="FAMNXL2600000071"/>
    <s v="2025-08-19 00:00:00.0"/>
    <s v="77.0"/>
    <s v="522601"/>
    <s v="Andhra Pradesh"/>
    <s v="522601"/>
    <s v="522601 – Vijayawada"/>
    <x v="22"/>
    <x v="13"/>
    <s v="190.0"/>
    <s v="false"/>
    <s v="0.1"/>
    <s v="0.077"/>
    <s v="NA"/>
    <s v="NA"/>
    <s v="NA"/>
    <s v="Bala Swami"/>
    <s v="NA"/>
  </r>
  <r>
    <s v="08FHGPP4088D1Z1"/>
    <s v="OD335325527836414100"/>
    <s v="335325527836414100"/>
    <s v="&quot;&quot;&quot;Who Will Cry When You Die? Paperback, Robin Sharma Paperback, Robin Sharma&quot;&quot;&quot;"/>
    <s v="&quot;&quot;&quot;RBKHB9HJMHVREPGP&quot;&quot;&quot;"/>
    <s v="&quot;&quot;&quot;SKU:WHO-WILL-CRY01&quot;&quot;&quot;"/>
    <x v="26"/>
    <s v="49011010"/>
    <s v="Sale"/>
    <x v="0"/>
    <s v="Prepaid"/>
    <s v="NON_FBF"/>
    <s v="2025-08-28 00:00:00"/>
    <x v="2"/>
    <s v="2025-08-28 00:00:00"/>
    <s v="1.0"/>
    <s v="IN-RJ"/>
    <s v="NA"/>
    <s v="116.0"/>
    <s v="-9.0"/>
    <s v="0.0"/>
    <s v="-9.0"/>
    <s v="107.0"/>
    <s v="0.0"/>
    <s v="107.0"/>
    <s v="0"/>
    <s v="107.0"/>
    <s v="0.0"/>
    <s v="0.0"/>
    <s v="0.0"/>
    <s v="0.0"/>
    <s v="0.0"/>
    <s v="0.0"/>
    <s v="0.0"/>
    <s v="0.0"/>
    <s v="0.0"/>
    <s v="0.0"/>
    <s v="0.0"/>
    <s v="0.0"/>
    <s v="0.0"/>
    <s v="0.0"/>
    <s v="0.0"/>
    <s v="0.0"/>
    <s v="0.0"/>
    <s v="0.0"/>
    <s v="0.0"/>
    <s v="FAMNXL2600000075"/>
    <s v="2025-08-28 00:00:00.0"/>
    <s v="107.0"/>
    <s v="786153"/>
    <s v="Assam"/>
    <s v="786153"/>
    <s v="786153 – Dibrugarh"/>
    <x v="20"/>
    <x v="5"/>
    <s v="NA"/>
    <s v="false"/>
    <s v="0.1"/>
    <s v="0.107"/>
    <s v="NA"/>
    <s v="NA"/>
    <s v="NA"/>
    <s v="Rashmirekha Borgohain"/>
    <s v="NA"/>
  </r>
  <r>
    <s v="08FHGPP4088D1Z1"/>
    <s v="OD335213047054512100"/>
    <s v="335213047054512101"/>
    <s v="&quot;&quot;&quot;Doglapan Paperback, ASHEER GROVER&quot;&quot;&quot;"/>
    <s v="&quot;&quot;&quot;RBKGWNNGFHREGW5V&quot;&quot;&quot;"/>
    <s v="&quot;&quot;&quot;SKU:DOGLAPAN02&quot;&quot;&quot;"/>
    <x v="32"/>
    <s v="49011010"/>
    <s v="Sale"/>
    <x v="0"/>
    <s v="Prepaid"/>
    <s v="NON_FBF"/>
    <s v="2025-08-24 00:00:00"/>
    <x v="2"/>
    <s v="2025-08-24 00:00:00"/>
    <s v="1.0"/>
    <s v="IN-RJ"/>
    <s v="NA"/>
    <s v="124.0"/>
    <s v="-20.0"/>
    <s v="0.0"/>
    <s v="-20.0"/>
    <s v="104.0"/>
    <s v="0.0"/>
    <s v="104.0"/>
    <s v="0"/>
    <s v="104.0"/>
    <s v="0.0"/>
    <s v="0.0"/>
    <s v="0.0"/>
    <s v="0.0"/>
    <s v="0.0"/>
    <s v="0.0"/>
    <s v="0.0"/>
    <s v="0.0"/>
    <s v="0.0"/>
    <s v="0.0"/>
    <s v="0.0"/>
    <s v="0.0"/>
    <s v="0.0"/>
    <s v="0.0"/>
    <s v="0.0"/>
    <s v="0.0"/>
    <s v="0.0"/>
    <s v="0.0"/>
    <s v="0.0"/>
    <s v="FAMNXL2600000072"/>
    <s v="2025-08-24 00:00:00.0"/>
    <s v="104.0"/>
    <s v="416414"/>
    <s v="Maharashtra"/>
    <s v="416414"/>
    <s v="416414 - Kolhapur"/>
    <x v="51"/>
    <x v="3"/>
    <s v="165.0"/>
    <s v="false"/>
    <s v="0.1"/>
    <s v="0.104"/>
    <s v="NA"/>
    <s v="NA"/>
    <s v="NA"/>
    <s v="Ajay Nikam"/>
    <s v="NA"/>
  </r>
  <r>
    <s v="08FHGPP4088D1Z1"/>
    <s v="OD335213047054512100"/>
    <s v="335213047054512100"/>
    <s v="&quot;&quot;&quot;Doglapan Paperback, ASHEER GROVER&quot;&quot;&quot;"/>
    <s v="&quot;&quot;&quot;RBKGWNNGFHREGW5V&quot;&quot;&quot;"/>
    <s v="&quot;&quot;&quot;SKU:DOGLAPAN02&quot;&quot;&quot;"/>
    <x v="32"/>
    <s v="49011010"/>
    <s v="Return"/>
    <x v="2"/>
    <s v="Prepaid"/>
    <s v="NON_FBF"/>
    <s v="2025-08-15 00:00:00"/>
    <x v="2"/>
    <s v="2025-08-15 00:00:00"/>
    <s v="1.0"/>
    <s v="IN-RJ"/>
    <s v="NA"/>
    <s v="124.0"/>
    <s v="-20.0"/>
    <s v="0.0"/>
    <s v="-20.0"/>
    <s v="104.0"/>
    <s v="0.0"/>
    <s v="104.0"/>
    <s v="0"/>
    <s v="-104.0"/>
    <s v="0.0"/>
    <s v="0.0"/>
    <s v="0.0"/>
    <s v="0.0"/>
    <s v="0.0"/>
    <s v="0.0"/>
    <s v="0.0"/>
    <s v="0.0"/>
    <s v="0.0"/>
    <s v="0.0"/>
    <s v="0.0"/>
    <s v="0.0"/>
    <s v="0.0"/>
    <s v="0.0"/>
    <s v="0.0"/>
    <s v="0.0"/>
    <s v="0.0"/>
    <s v="0.0"/>
    <s v="0.0"/>
    <s v="RAKC4V2600000015"/>
    <s v="2025-08-24 00:00:00.0"/>
    <s v="-104.0"/>
    <s v="416414"/>
    <s v="Maharashtra"/>
    <s v="416414"/>
    <s v="416414 - Kolhapur"/>
    <x v="51"/>
    <x v="3"/>
    <s v="165.0"/>
    <s v="false"/>
    <s v="0.1"/>
    <s v="0.104"/>
    <s v="NA"/>
    <s v="NA"/>
    <s v="NA"/>
    <s v="Ajay Nikam"/>
    <s v="NA"/>
  </r>
  <r>
    <s v="08FHGPP4088D1Z1"/>
    <s v="OD335185485062824100"/>
    <s v="335185485062824100"/>
    <s v="&quot;&quot;&quot;The Alchemist English, Paperback, Paulo Coelho&quot;&quot;&quot;"/>
    <s v="&quot;&quot;&quot;9781512761689&quot;&quot;&quot;"/>
    <s v="&quot;&quot;&quot;SKU:ALCHEMIST01&quot;&quot;&quot;"/>
    <x v="1"/>
    <s v="49011010"/>
    <s v="Return"/>
    <x v="2"/>
    <s v="Postpaid"/>
    <s v="NON_FBF"/>
    <s v="2025-08-12 00:00:00"/>
    <x v="2"/>
    <s v="2025-08-12 00:00:00"/>
    <s v="1.0"/>
    <s v="IN-RJ"/>
    <s v="NA"/>
    <s v="125.0"/>
    <s v="-16.0"/>
    <s v="0.0"/>
    <s v="-16.0"/>
    <s v="109.0"/>
    <s v="0.0"/>
    <s v="109.0"/>
    <s v="0"/>
    <s v="-109.0"/>
    <s v="0.0"/>
    <s v="0.0"/>
    <s v="0.0"/>
    <s v="0.0"/>
    <s v="0.0"/>
    <s v="0.0"/>
    <s v="0.0"/>
    <s v="0.0"/>
    <s v="0.0"/>
    <s v="0.0"/>
    <s v="0.0"/>
    <s v="0.0"/>
    <s v="0.0"/>
    <s v="0.0"/>
    <s v="0.0"/>
    <s v="0.0"/>
    <s v="0.0"/>
    <s v="0.0"/>
    <s v="0.0"/>
    <s v="RAKC4V2600000014"/>
    <s v="2025-08-22 00:00:00.0"/>
    <s v="-109.0"/>
    <s v="423110"/>
    <s v="Maharashtra"/>
    <s v="423110"/>
    <s v="423110 - Jalgaon"/>
    <x v="45"/>
    <x v="3"/>
    <s v="205.0"/>
    <s v="false"/>
    <s v="0.1"/>
    <s v="0.109"/>
    <s v="NA"/>
    <s v="NA"/>
    <s v="NA"/>
    <s v="Sneha Aher"/>
    <s v="NA"/>
  </r>
  <r>
    <s v="08FHGPP4088D1Z1"/>
    <s v="OD435178971108014100"/>
    <s v="435178971108014100"/>
    <s v="&quot;&quot;&quot;The Alchemist English, Paperback, Paulo Coelho&quot;&quot;&quot;"/>
    <s v="&quot;&quot;&quot;9781512761689&quot;&quot;&quot;"/>
    <s v="&quot;&quot;&quot;SKU:ALCHEMIST01&quot;&quot;&quot;"/>
    <x v="1"/>
    <s v="49011010"/>
    <s v="Sale"/>
    <x v="0"/>
    <s v="Prepaid"/>
    <s v="NON_FBF"/>
    <s v="2025-08-11 00:00:00"/>
    <x v="2"/>
    <s v="2025-08-11 00:00:00"/>
    <s v="1.0"/>
    <s v="IN-RJ"/>
    <s v="NA"/>
    <s v="125.0"/>
    <s v="-16.0"/>
    <s v="0.0"/>
    <s v="-16.0"/>
    <s v="109.0"/>
    <s v="0.0"/>
    <s v="109.0"/>
    <s v="0"/>
    <s v="109.0"/>
    <s v="0.0"/>
    <s v="0.0"/>
    <s v="0.0"/>
    <s v="0.0"/>
    <s v="0.0"/>
    <s v="0.0"/>
    <s v="0.0"/>
    <s v="0.0"/>
    <s v="0.0"/>
    <s v="0.0"/>
    <s v="0.0"/>
    <s v="0.0"/>
    <s v="0.0"/>
    <s v="0.0"/>
    <s v="0.0"/>
    <s v="0.0"/>
    <s v="0.0"/>
    <s v="0.0"/>
    <s v="0.0"/>
    <s v="FAMNXL2600000065"/>
    <s v="2025-08-11 00:00:00.0"/>
    <s v="109.0"/>
    <s v="521001"/>
    <s v="Andhra Pradesh"/>
    <s v="521001"/>
    <s v="521001 – Vijayawada"/>
    <x v="22"/>
    <x v="13"/>
    <s v="205.0"/>
    <s v="false"/>
    <s v="0.1"/>
    <s v="0.109"/>
    <s v="NA"/>
    <s v="NA"/>
    <s v="NA"/>
    <s v="Manne Gana Pranav"/>
    <s v="NA"/>
  </r>
  <r>
    <s v="08FHGPP4088D1Z1"/>
    <s v="OD335145499144109100"/>
    <s v="335145499144109100"/>
    <s v="&quot;&quot;&quot;Rice Dad Poor Dad Paperback, Hindi, Sharon L. Lechter&quot;&quot;&quot;"/>
    <s v="&quot;&quot;&quot;RBKGS4JZ4FUNUSWM&quot;&quot;&quot;"/>
    <s v="&quot;&quot;&quot;SKU:RICH-DAD-HINDI02&quot;&quot;&quot;"/>
    <x v="35"/>
    <s v="49011010"/>
    <s v="Sale"/>
    <x v="0"/>
    <s v="Postpaid"/>
    <s v="NON_FBF"/>
    <s v="2025-08-08 00:00:00"/>
    <x v="2"/>
    <s v="2025-08-08 00:00:00"/>
    <s v="1.0"/>
    <s v="IN-RJ"/>
    <s v="NA"/>
    <s v="74.0"/>
    <s v="-18.0"/>
    <s v="0.0"/>
    <s v="-18.0"/>
    <s v="56.0"/>
    <s v="0.0"/>
    <s v="56.0"/>
    <s v="0"/>
    <s v="56.0"/>
    <s v="0.0"/>
    <s v="0.0"/>
    <s v="0.0"/>
    <s v="0.0"/>
    <s v="0.0"/>
    <s v="0.0"/>
    <s v="0.0"/>
    <s v="0.0"/>
    <s v="0.0"/>
    <s v="0.0"/>
    <s v="0.0"/>
    <s v="0.0"/>
    <s v="0.0"/>
    <s v="0.0"/>
    <s v="0.0"/>
    <s v="0.0"/>
    <s v="0.0"/>
    <s v="0.0"/>
    <s v="0.0"/>
    <s v="FAMNXL2600000064"/>
    <s v="2025-08-11 00:00:00.0"/>
    <s v="56.0"/>
    <s v="382421"/>
    <s v="Gujarat"/>
    <s v="382421"/>
    <s v="382421 – Ahmedabad"/>
    <x v="52"/>
    <x v="11"/>
    <s v="124.0"/>
    <s v="false"/>
    <s v="0.1"/>
    <s v="0.056"/>
    <s v="NA"/>
    <s v="NA"/>
    <s v="NA"/>
    <s v="Balwant Singh Chouhan"/>
    <s v="NA"/>
  </r>
  <r>
    <s v="08FHGPP4088D1Z1"/>
    <s v="OD335178070584353100"/>
    <s v="335178070584353101"/>
    <s v="&quot;&quot;&quot;Who Will Cry When You Die? Paperback, Robin Sharma Paperback, Robin Sharma&quot;&quot;&quot;"/>
    <s v="&quot;&quot;&quot;RBKHB9HJMHVREPGP&quot;&quot;&quot;"/>
    <s v="&quot;&quot;&quot;SKU:WHO-WILL-CRY01&quot;&quot;&quot;"/>
    <x v="26"/>
    <s v="49011010"/>
    <s v="Return"/>
    <x v="2"/>
    <s v="Prepaid"/>
    <s v="NON_FBF"/>
    <s v="2025-08-11 00:00:00"/>
    <x v="2"/>
    <s v="2025-08-11 00:00:00"/>
    <s v="1.0"/>
    <s v="IN-RJ"/>
    <s v="NA"/>
    <s v="109.0"/>
    <s v="0.0"/>
    <s v="0.0"/>
    <s v="0.0"/>
    <s v="109.0"/>
    <s v="0.0"/>
    <s v="109.0"/>
    <s v="0"/>
    <s v="-109.0"/>
    <s v="0.0"/>
    <s v="0.0"/>
    <s v="0.0"/>
    <s v="0.0"/>
    <s v="0.0"/>
    <s v="0.0"/>
    <s v="0.0"/>
    <s v="0.0"/>
    <s v="0.0"/>
    <s v="0.0"/>
    <s v="0.0"/>
    <s v="0.0"/>
    <s v="0.0"/>
    <s v="0.0"/>
    <s v="0.0"/>
    <s v="0.0"/>
    <s v="0.0"/>
    <s v="0.0"/>
    <s v="0.0"/>
    <s v="RAKC4V2600000013"/>
    <s v="2025-08-22 00:00:00.0"/>
    <s v="-109.0"/>
    <s v="673525"/>
    <s v="Kerala"/>
    <s v="673525"/>
    <s v="321407 – Chittorgarh"/>
    <x v="53"/>
    <x v="12"/>
    <s v="178.0"/>
    <s v="false"/>
    <s v="0.1"/>
    <s v="0.109"/>
    <s v="NA"/>
    <s v="NA"/>
    <s v="NA"/>
    <s v="Dr Harikrishnan G"/>
    <s v="NA"/>
  </r>
  <r>
    <s v="08FHGPP4088D1Z1"/>
    <s v="OD435307189530809100"/>
    <s v="435307189530809100"/>
    <s v="&quot;&quot;&quot;Think And Grow Rich By Napoleon Hill-New Revised &amp; Updated Book Paperback, Napoleon Hill&quot;&quot;&quot;"/>
    <s v="&quot;&quot;&quot;RBKGHGEWFEXWJT3D&quot;&quot;&quot;"/>
    <s v="&quot;&quot;&quot;SKU:THANGRORICH&quot;&quot;&quot;"/>
    <x v="13"/>
    <s v="49011010"/>
    <s v="Sale"/>
    <x v="0"/>
    <s v="Prepaid"/>
    <s v="NON_FBF"/>
    <s v="2025-08-26 00:00:00"/>
    <x v="2"/>
    <s v="2025-08-26 00:00:00"/>
    <s v="1.0"/>
    <s v="IN-RJ"/>
    <s v="NA"/>
    <s v="168.0"/>
    <s v="0.0"/>
    <s v="0.0"/>
    <s v="0.0"/>
    <s v="168.0"/>
    <s v="0.0"/>
    <s v="168.0"/>
    <s v="0"/>
    <s v="168.0"/>
    <s v="0.0"/>
    <s v="0.0"/>
    <s v="0.0"/>
    <s v="0.0"/>
    <s v="0.0"/>
    <s v="0.0"/>
    <s v="0.0"/>
    <s v="0.0"/>
    <s v="0.0"/>
    <s v="0.0"/>
    <s v="0.0"/>
    <s v="0.0"/>
    <s v="0.0"/>
    <s v="0.0"/>
    <s v="0.0"/>
    <s v="0.0"/>
    <s v="0.0"/>
    <s v="0.0"/>
    <s v="0.0"/>
    <s v="FAMNXL2600000073"/>
    <s v="2025-08-26 00:00:00.0"/>
    <s v="168.0"/>
    <s v="321407"/>
    <s v="Rajasthan"/>
    <s v="321407"/>
    <s v="321407 - Chittorgarh"/>
    <x v="53"/>
    <x v="19"/>
    <s v="NA"/>
    <s v="false"/>
    <s v="0.1"/>
    <s v="0.168"/>
    <s v="NA"/>
    <s v="NA"/>
    <s v="NA"/>
    <s v="Gursewak Singh Brar"/>
    <s v="NA"/>
  </r>
  <r>
    <s v="08FHGPP4088D1Z1"/>
    <s v="OD335213047054512100"/>
    <s v="335213047054512101"/>
    <s v="&quot;&quot;&quot;Doglapan Paperback, ASHEER GROVER&quot;&quot;&quot;"/>
    <s v="&quot;&quot;&quot;RBKGWNNGFHREGW5V&quot;&quot;&quot;"/>
    <s v="&quot;&quot;&quot;SKU:DOGLAPAN02&quot;&quot;&quot;"/>
    <x v="32"/>
    <s v="49011010"/>
    <s v="Return"/>
    <x v="1"/>
    <s v="Prepaid"/>
    <s v="NON_FBF"/>
    <s v="2025-08-24 00:00:00"/>
    <x v="2"/>
    <s v="2025-08-24 00:00:00"/>
    <s v="1.0"/>
    <s v="IN-RJ"/>
    <s v="NA"/>
    <s v="124.0"/>
    <s v="-20.0"/>
    <s v="0.0"/>
    <s v="-20.0"/>
    <s v="104.0"/>
    <s v="0.0"/>
    <s v="104.0"/>
    <s v="0"/>
    <s v="-104.0"/>
    <s v="0.0"/>
    <s v="0.0"/>
    <s v="0.0"/>
    <s v="0.0"/>
    <s v="0.0"/>
    <s v="0.0"/>
    <s v="0.0"/>
    <s v="0.0"/>
    <s v="0.0"/>
    <s v="0.0"/>
    <s v="0.0"/>
    <s v="0.0"/>
    <s v="0.0"/>
    <s v="0.0"/>
    <s v="0.0"/>
    <s v="0.0"/>
    <s v="0.0"/>
    <s v="0.0"/>
    <s v="0.0"/>
    <s v="RAKC4V2600000016"/>
    <s v="2025-08-28 00:00:00.0"/>
    <s v="-104.0"/>
    <s v="416414"/>
    <s v="Maharashtra"/>
    <s v="416414"/>
    <s v="416414 - Kolhapur"/>
    <x v="51"/>
    <x v="3"/>
    <s v="165.0"/>
    <s v="false"/>
    <s v="0.1"/>
    <s v="0.104"/>
    <s v="NA"/>
    <s v="NA"/>
    <s v="NA"/>
    <s v="Ajay Nikam"/>
    <s v="NA"/>
  </r>
  <r>
    <s v="08FHGPP4088D1Z1"/>
    <s v="OD335213047054512100"/>
    <s v="335213047054512100"/>
    <s v="&quot;&quot;&quot;Doglapan Paperback, ASHEER GROVER&quot;&quot;&quot;"/>
    <s v="&quot;&quot;&quot;RBKGWNNGFHREGW5V&quot;&quot;&quot;"/>
    <s v="&quot;&quot;&quot;SKU:DOGLAPAN02&quot;&quot;&quot;"/>
    <x v="32"/>
    <s v="49011010"/>
    <s v="Return"/>
    <x v="2"/>
    <s v="Prepaid"/>
    <s v="NON_FBF"/>
    <s v="2025-08-15 00:00:00"/>
    <x v="2"/>
    <s v="2025-08-15 00:00:00"/>
    <s v="1.0"/>
    <s v="IN-RJ"/>
    <s v="NA"/>
    <s v="124.0"/>
    <s v="-20.0"/>
    <s v="0.0"/>
    <s v="-20.0"/>
    <s v="104.0"/>
    <s v="0.0"/>
    <s v="104.0"/>
    <s v="0"/>
    <s v="104.0"/>
    <s v="0.0"/>
    <s v="0.0"/>
    <s v="0.0"/>
    <s v="0.0"/>
    <s v="0.0"/>
    <s v="0.0"/>
    <s v="0.0"/>
    <s v="0.0"/>
    <s v="0.0"/>
    <s v="0.0"/>
    <s v="0.0"/>
    <s v="0.0"/>
    <s v="0.0"/>
    <s v="0.0"/>
    <s v="0.0"/>
    <s v="0.0"/>
    <s v="0.0"/>
    <s v="0.0"/>
    <s v="0.0"/>
    <s v="B8B1R2600000001"/>
    <s v="2025-08-28 00:00:00.0"/>
    <s v="104.0"/>
    <s v="416414"/>
    <s v="Maharashtra"/>
    <s v="416414"/>
    <s v="416414 - Kolhapur"/>
    <x v="51"/>
    <x v="3"/>
    <s v="165.0"/>
    <s v="false"/>
    <s v="0.1"/>
    <s v="0.104"/>
    <s v="NA"/>
    <s v="NA"/>
    <s v="NA"/>
    <s v="Ajay Nikam"/>
    <s v="NA"/>
  </r>
  <r>
    <s v="08FHGPP4088D1Z1"/>
    <s v="OD335347817780971100"/>
    <s v="335347817780971100"/>
    <s v="&quot;&quot;&quot;The Magic Of Thinking Big + Ikigai Journey 2 Book Combo Paperback, JMD BOOKS&quot;&quot;&quot;"/>
    <s v="&quot;&quot;&quot;9780315535169&quot;&quot;&quot;"/>
    <s v="&quot;&quot;&quot;SKU:THE-MAGIC-IKIGAI&quot;&quot;&quot;"/>
    <x v="36"/>
    <s v="49011010"/>
    <s v="Sale"/>
    <x v="0"/>
    <s v="Prepaid"/>
    <s v="NON_FBF"/>
    <s v="2025-08-31 00:00:00"/>
    <x v="2"/>
    <s v="2025-08-31 00:00:00"/>
    <s v="1.0"/>
    <s v="IN-RJ"/>
    <s v="NA"/>
    <s v="204.0"/>
    <s v="0.0"/>
    <s v="0.0"/>
    <s v="0.0"/>
    <s v="204.0"/>
    <s v="0.0"/>
    <s v="204.0"/>
    <s v="0"/>
    <s v="204.0"/>
    <s v="0.0"/>
    <s v="0.0"/>
    <s v="0.0"/>
    <s v="0.0"/>
    <s v="0.0"/>
    <s v="0.0"/>
    <s v="0.0"/>
    <s v="0.0"/>
    <s v="0.0"/>
    <s v="0.0"/>
    <s v="0.0"/>
    <s v="0.0"/>
    <s v="0.0"/>
    <s v="0.0"/>
    <s v="0.0"/>
    <s v="0.0"/>
    <s v="0.0"/>
    <s v="0.0"/>
    <s v="0.0"/>
    <s v="FAMNXL2600000077"/>
    <s v="2025-08-31 00:00:00.0"/>
    <s v="204.0"/>
    <s v="700093"/>
    <s v="West Bengal"/>
    <s v="700093"/>
    <s v="700093 – Kolkata"/>
    <x v="12"/>
    <x v="9"/>
    <s v="NA"/>
    <s v="false"/>
    <s v="0.1"/>
    <s v="0.204"/>
    <s v="NA"/>
    <s v="NA"/>
    <s v="NA"/>
    <s v="Abhijit Pani Home"/>
    <s v="NA"/>
  </r>
  <r>
    <s v="08FHGPP4088D1Z1"/>
    <s v="OD435347570267230100"/>
    <s v="435347570267230100"/>
    <s v="&quot;&quot;&quot;The Alchemist English, Paperback, Paulo Coelho&quot;&quot;&quot;"/>
    <s v="&quot;&quot;&quot;9781512761689&quot;&quot;&quot;"/>
    <s v="&quot;&quot;&quot;SKU:ALCHEMIST01&quot;&quot;&quot;"/>
    <x v="1"/>
    <s v="49011010"/>
    <s v="Sale"/>
    <x v="0"/>
    <s v="Prepaid"/>
    <s v="NON_FBF"/>
    <s v="2025-08-31 00:00:00"/>
    <x v="2"/>
    <s v="2025-08-31 00:00:00"/>
    <s v="1.0"/>
    <s v="IN-RJ"/>
    <s v="NA"/>
    <s v="137.0"/>
    <s v="0.0"/>
    <s v="0.0"/>
    <s v="0.0"/>
    <s v="137.0"/>
    <s v="0.0"/>
    <s v="137.0"/>
    <s v="0"/>
    <s v="137.0"/>
    <s v="0.0"/>
    <s v="0.0"/>
    <s v="0.0"/>
    <s v="0.0"/>
    <s v="0.0"/>
    <s v="0.0"/>
    <s v="0.0"/>
    <s v="0.0"/>
    <s v="0.0"/>
    <s v="0.0"/>
    <s v="0.0"/>
    <s v="0.0"/>
    <s v="0.0"/>
    <s v="0.0"/>
    <s v="0.0"/>
    <s v="0.0"/>
    <s v="0.0"/>
    <s v="0.0"/>
    <s v="0.0"/>
    <s v="FAMNXL2600000078"/>
    <s v="2025-08-31 00:00:00.0"/>
    <s v="137.0"/>
    <s v="560086"/>
    <s v="Karnataka"/>
    <s v="560086"/>
    <s v="560086 – Bengaluru"/>
    <x v="24"/>
    <x v="0"/>
    <s v="NA"/>
    <s v="false"/>
    <s v="0.1"/>
    <s v="0.137"/>
    <s v="NA"/>
    <s v="NA"/>
    <s v="NA"/>
    <s v="Chethan"/>
    <s v="NA"/>
  </r>
  <r>
    <s v="08FHGPP4088D1Z1"/>
    <s v="OD335142817879845100"/>
    <s v="335142817879845100"/>
    <s v="&quot;&quot;&quot;Rich Dad Poor Dad - Hindi Paperback, Robert T. Kiyosaki&quot;&quot;&quot;"/>
    <s v="&quot;&quot;&quot;9788551004913&quot;&quot;&quot;"/>
    <s v="&quot;&quot;&quot;SKU:RICH-DAD-HINDI03&quot;&quot;&quot;"/>
    <x v="20"/>
    <s v="49011010"/>
    <s v="Sale"/>
    <x v="0"/>
    <s v="Postpaid"/>
    <s v="NON_FBF"/>
    <s v="2025-08-07 00:00:00"/>
    <x v="2"/>
    <s v="2025-08-07 00:00:00"/>
    <s v="1.0"/>
    <s v="IN-RJ"/>
    <s v="NA"/>
    <s v="135.0"/>
    <s v="-17.0"/>
    <s v="0.0"/>
    <s v="-17.0"/>
    <s v="118.0"/>
    <s v="0.0"/>
    <s v="118.0"/>
    <s v="0"/>
    <s v="118.0"/>
    <s v="0.0"/>
    <s v="0.0"/>
    <s v="0.0"/>
    <s v="0.0"/>
    <s v="0.0"/>
    <s v="0.0"/>
    <s v="0.0"/>
    <s v="0.0"/>
    <s v="0.0"/>
    <s v="0.0"/>
    <s v="0.0"/>
    <s v="0.0"/>
    <s v="0.0"/>
    <s v="0.0"/>
    <s v="0.0"/>
    <s v="0.0"/>
    <s v="0.0"/>
    <s v="0.0"/>
    <s v="0.0"/>
    <s v="FAMNXL2600000063"/>
    <s v="2025-08-11 00:00:00.0"/>
    <s v="118.0"/>
    <s v="803110"/>
    <s v="Bihar"/>
    <s v="803110"/>
    <s v="803110 - Bihar Sharif"/>
    <x v="46"/>
    <x v="20"/>
    <s v="124.0"/>
    <s v="false"/>
    <s v="0.1"/>
    <s v="0.118"/>
    <s v="NA"/>
    <s v="NA"/>
    <s v="NA"/>
    <s v="Dipanshukumar"/>
    <s v="NA"/>
  </r>
  <r>
    <s v="08FHGPP4088D1Z1"/>
    <s v="OD435325167685989100"/>
    <s v="435325167685989100"/>
    <s v="&quot;&quot;&quot;Do Epic Shit English, Paperback, Warikoo Ankur&quot;&quot;&quot;"/>
    <s v="&quot;&quot;&quot;9789393986283&quot;&quot;&quot;"/>
    <s v="&quot;&quot;&quot;SKU:DO-EPIC-SHIT01&quot;&quot;&quot;"/>
    <x v="37"/>
    <s v="49011010"/>
    <s v="Sale"/>
    <x v="0"/>
    <s v="Prepaid"/>
    <s v="NON_FBF"/>
    <s v="2025-08-28 00:00:00"/>
    <x v="2"/>
    <s v="2025-08-28 00:00:00"/>
    <s v="1.0"/>
    <s v="IN-RJ"/>
    <s v="NA"/>
    <s v="124.0"/>
    <s v="0.0"/>
    <s v="0.0"/>
    <s v="0.0"/>
    <s v="124.0"/>
    <s v="0.0"/>
    <s v="124.0"/>
    <s v="0"/>
    <s v="124.0"/>
    <s v="0.0"/>
    <s v="0.0"/>
    <s v="0.0"/>
    <s v="0.0"/>
    <s v="0.0"/>
    <s v="0.0"/>
    <s v="0.0"/>
    <s v="0.0"/>
    <s v="0.0"/>
    <s v="0.0"/>
    <s v="0.0"/>
    <s v="0.0"/>
    <s v="0.0"/>
    <s v="0.0"/>
    <s v="0.0"/>
    <s v="0.0"/>
    <s v="0.0"/>
    <s v="0.0"/>
    <s v="0.0"/>
    <s v="FAMNXL2600000074"/>
    <s v="2025-08-28 00:00:00.0"/>
    <s v="124.0"/>
    <s v="110030"/>
    <s v="Delhi"/>
    <s v="110030"/>
    <s v="110030 – New Delhi"/>
    <x v="41"/>
    <x v="21"/>
    <s v="99.0"/>
    <s v="false"/>
    <s v="0.1"/>
    <s v="0.124"/>
    <s v="NA"/>
    <s v="NA"/>
    <s v="NA"/>
    <s v="BHUPENDRA KATARA"/>
    <s v="NA"/>
  </r>
  <r>
    <s v="08FHGPP4088D1Z1"/>
    <s v="OD335334188085535100"/>
    <s v="335334188085535101"/>
    <s v="&quot;&quot;&quot;The Magic of Thinking Big Paperback, David J. Schwartz&quot;&quot;&quot;"/>
    <s v="&quot;&quot;&quot;9789026699115&quot;&quot;&quot;"/>
    <s v="&quot;&quot;&quot;SKU:THE-MAGIC01&quot;&quot;&quot;"/>
    <x v="38"/>
    <s v="49011010"/>
    <s v="Sale"/>
    <x v="0"/>
    <s v="Postpaid"/>
    <s v="NON_FBF"/>
    <s v="2025-08-29 00:00:00"/>
    <x v="2"/>
    <s v="2025-08-29 00:00:00"/>
    <s v="1.0"/>
    <s v="IN-RJ"/>
    <s v="NA"/>
    <s v="132.0"/>
    <s v="0.0"/>
    <s v="0.0"/>
    <s v="0.0"/>
    <s v="132.0"/>
    <s v="0.0"/>
    <s v="132.0"/>
    <s v="0"/>
    <s v="132.0"/>
    <s v="0.0"/>
    <s v="0.0"/>
    <s v="0.0"/>
    <s v="0.0"/>
    <s v="0.0"/>
    <s v="0.0"/>
    <s v="0.0"/>
    <s v="0.0"/>
    <s v="0.0"/>
    <s v="0.0"/>
    <s v="0.0"/>
    <s v="0.0"/>
    <s v="0.0"/>
    <s v="0.0"/>
    <s v="0.0"/>
    <s v="0.0"/>
    <s v="0.0"/>
    <s v="0.0"/>
    <s v="0.0"/>
    <s v="FAMNXL2600000076"/>
    <s v="2025-08-30 00:00:00.0"/>
    <s v="132.0"/>
    <s v="422003"/>
    <s v="Maharashtra"/>
    <s v="422003"/>
    <s v="422003 – Nashik"/>
    <x v="42"/>
    <x v="3"/>
    <s v="195.0"/>
    <s v="false"/>
    <s v="0.1"/>
    <s v="0.132"/>
    <s v="NA"/>
    <s v="NA"/>
    <s v="NA"/>
    <s v="Rupali Prashant Bhojane"/>
    <s v="NA"/>
  </r>
  <r>
    <s v="08FHGPP4088D1Z1"/>
    <s v="OD335190592152605100"/>
    <s v="335190592152605100"/>
    <s v="&quot;&quot;&quot;Doglapan Paperback, ASHEER GROVER&quot;&quot;&quot;"/>
    <s v="&quot;&quot;&quot;RBKGWNNGFHREGW5V&quot;&quot;&quot;"/>
    <s v="&quot;&quot;&quot;SKU:DOGLAPAN02&quot;&quot;&quot;"/>
    <x v="32"/>
    <s v="49011010"/>
    <s v="Return"/>
    <x v="2"/>
    <s v="Prepaid"/>
    <s v="NON_FBF"/>
    <s v="2025-08-13 00:00:00"/>
    <x v="2"/>
    <s v="2025-08-13 00:00:00"/>
    <s v="1.0"/>
    <s v="IN-RJ"/>
    <s v="NA"/>
    <s v="124.0"/>
    <s v="-26.0"/>
    <s v="0.0"/>
    <s v="-26.0"/>
    <s v="98.0"/>
    <s v="0.0"/>
    <s v="98.0"/>
    <s v="0"/>
    <s v="-98.0"/>
    <s v="0.0"/>
    <s v="0.0"/>
    <s v="0.0"/>
    <s v="0.0"/>
    <s v="0.0"/>
    <s v="0.0"/>
    <s v="0.0"/>
    <s v="0.0"/>
    <s v="0.0"/>
    <s v="0.0"/>
    <s v="0.0"/>
    <s v="0.0"/>
    <s v="0.0"/>
    <s v="0.0"/>
    <s v="0.0"/>
    <s v="0.0"/>
    <s v="0.0"/>
    <s v="0.0"/>
    <s v="0.0"/>
    <s v="RAKC4V2600000012"/>
    <s v="2025-08-15 00:00:00.0"/>
    <s v="-98.0"/>
    <s v="400099"/>
    <s v="Maharashtra"/>
    <s v="400099"/>
    <s v="400099 - Mumbai"/>
    <x v="33"/>
    <x v="3"/>
    <s v="165.0"/>
    <s v="false"/>
    <s v="0.1"/>
    <s v="0.098"/>
    <s v="NA"/>
    <s v="NA"/>
    <s v="NA"/>
    <s v="Ajay Nikam"/>
    <s v="NA"/>
  </r>
  <r>
    <s v="08FHGPP4088D1Z1"/>
    <s v="OD435511406634891100"/>
    <s v="435511406634891100"/>
    <s v="&quot;&quot;&quot;Stop Overthinking: A Simple Guide To Living A Stress-Free Life Paperback, STOPOVERTHINKING-1&quot;&quot;&quot;"/>
    <s v="&quot;&quot;&quot;RBKGTKP3F5ZPGGQH&quot;&quot;&quot;"/>
    <s v="&quot;&quot;&quot;SKU:STOPOVERTHINKING-1&quot;&quot;&quot;"/>
    <x v="39"/>
    <s v="49011010"/>
    <s v="Sale"/>
    <x v="0"/>
    <s v="Prepaid"/>
    <s v="NON_FBF"/>
    <s v="2025-09-19 00:00:00"/>
    <x v="3"/>
    <s v="2025-09-19 00:00:00"/>
    <s v="1.0"/>
    <s v="IN-RJ"/>
    <s v="NA"/>
    <s v="97.0"/>
    <s v="0.0"/>
    <s v="0.0"/>
    <s v="0.0"/>
    <s v="97.0"/>
    <s v="0.0"/>
    <s v="97.0"/>
    <s v="0"/>
    <s v="97.0"/>
    <s v="0.0"/>
    <s v="0.0"/>
    <s v="0.0"/>
    <s v="0.0"/>
    <s v="0.0"/>
    <s v="0.0"/>
    <s v="0.0"/>
    <s v="0.0"/>
    <s v="0.0"/>
    <s v="0.0"/>
    <s v="0.0"/>
    <s v="0.0"/>
    <s v="0.0"/>
    <s v="0.0"/>
    <s v="0.0"/>
    <s v="0.0"/>
    <s v="0.0"/>
    <s v="0.0"/>
    <s v="0.0"/>
    <s v="FAMNXL2600000085"/>
    <s v="2025-09-22 00:00:00.0"/>
    <s v="97.0"/>
    <s v="600097"/>
    <s v="Tamil Nadu"/>
    <s v="600097"/>
    <s v="600097 - Chennai"/>
    <x v="4"/>
    <x v="4"/>
    <s v="299.0"/>
    <s v="false"/>
    <s v="0.1"/>
    <s v="0.097"/>
    <s v="NA"/>
    <s v="NA"/>
    <s v="NA"/>
    <s v="Mehataj"/>
    <s v="NA"/>
  </r>
  <r>
    <s v="08FHGPP4088D1Z1"/>
    <s v="OD435563666140840100"/>
    <s v="435563666140840100"/>
    <s v="&quot;&quot;&quot;The Magic Of Thinking Big + Ikigai Journey 2 Book Combo Paperback, JMD BOOKS&quot;&quot;&quot;"/>
    <s v="&quot;&quot;&quot;9780315535169&quot;&quot;&quot;"/>
    <s v="&quot;&quot;&quot;SKU:THE-MAGIC-IKIGAI&quot;&quot;&quot;"/>
    <x v="36"/>
    <s v="49011010"/>
    <s v="Sale"/>
    <x v="0"/>
    <s v="Postpaid"/>
    <s v="NON_FBF"/>
    <s v="2025-09-25 00:00:00"/>
    <x v="3"/>
    <s v="2025-09-25 00:00:00"/>
    <s v="1.0"/>
    <s v="IN-RJ"/>
    <s v="NA"/>
    <s v="204.0"/>
    <s v="-20.0"/>
    <s v="-14.2"/>
    <s v="-5.8"/>
    <s v="184.0"/>
    <s v="0.0"/>
    <s v="184.0"/>
    <s v="0"/>
    <s v="184.0"/>
    <s v="0.0"/>
    <s v="0.0"/>
    <s v="0.0"/>
    <s v="0.0"/>
    <s v="0.0"/>
    <s v="0.0"/>
    <s v="0.0"/>
    <s v="0.0"/>
    <s v="0.0"/>
    <s v="0.0"/>
    <s v="0.0"/>
    <s v="0.0"/>
    <s v="0.0"/>
    <s v="0.0"/>
    <s v="0.0"/>
    <s v="0.0"/>
    <s v="0.0"/>
    <s v="0.0"/>
    <s v="0.0"/>
    <s v="FAMNXL2600000087"/>
    <s v="2025-09-25 00:00:00.0"/>
    <s v="184.0"/>
    <s v="495119"/>
    <s v="Chhattisgarh"/>
    <s v="495119"/>
    <s v="495119 – Bilaspur"/>
    <x v="54"/>
    <x v="23"/>
    <s v="NA"/>
    <s v="false"/>
    <s v="0.1"/>
    <s v="0.184"/>
    <s v="NA"/>
    <s v="NA"/>
    <s v="NA"/>
    <s v="Asha Porte"/>
    <s v="NA"/>
  </r>
  <r>
    <s v="08FHGPP4088D1Z1"/>
    <s v="OD335548124898213100"/>
    <s v="335548124898213100"/>
    <s v="&quot;&quot;&quot;Do More Better English, Paperback, Challies Tim&quot;&quot;&quot;"/>
    <s v="&quot;&quot;&quot;9781941114179&quot;&quot;&quot;"/>
    <s v="&quot;&quot;&quot;SKU:DOMORE-4&quot;&quot;&quot;"/>
    <x v="34"/>
    <s v="49011010"/>
    <s v="Sale"/>
    <x v="0"/>
    <s v="Prepaid"/>
    <s v="NON_FBF"/>
    <s v="2025-09-23 00:00:00"/>
    <x v="3"/>
    <s v="2025-09-23 00:00:00"/>
    <s v="1.0"/>
    <s v="IN-RJ"/>
    <s v="NA"/>
    <s v="130.0"/>
    <s v="-14.0"/>
    <s v="-9.94"/>
    <s v="-4.06"/>
    <s v="116.0"/>
    <s v="0.0"/>
    <s v="116.0"/>
    <s v="0"/>
    <s v="116.0"/>
    <s v="0.0"/>
    <s v="0.0"/>
    <s v="0.0"/>
    <s v="0.0"/>
    <s v="0.0"/>
    <s v="0.0"/>
    <s v="0.0"/>
    <s v="0.0"/>
    <s v="0.0"/>
    <s v="0.0"/>
    <s v="0.0"/>
    <s v="0.0"/>
    <s v="0.0"/>
    <s v="0.0"/>
    <s v="0.0"/>
    <s v="0.0"/>
    <s v="0.0"/>
    <s v="0.0"/>
    <s v="0.0"/>
    <s v="FAMNXL2600000086"/>
    <s v="2025-09-23 00:00:00.0"/>
    <s v="116.0"/>
    <s v="249203"/>
    <s v="Uttarakhand"/>
    <s v="249203"/>
    <s v="249203 – Pauri Garhwal"/>
    <x v="55"/>
    <x v="2"/>
    <s v="NA"/>
    <s v="false"/>
    <s v="0.1"/>
    <s v="0.116"/>
    <s v="NA"/>
    <s v="NA"/>
    <s v="NA"/>
    <s v="T Niangneivah"/>
    <s v="NA"/>
  </r>
  <r>
    <s v="08FHGPP4088D1Z1"/>
    <s v="OD335608734099642100"/>
    <s v="335608734099642100"/>
    <s v="&quot;&quot;&quot;Who Will Cry When You Die? Paperback, Robin Sharma Paperback, Robin Sharma&quot;&quot;&quot;"/>
    <s v="&quot;&quot;&quot;RBKHB9HJMHVREPGP&quot;&quot;&quot;"/>
    <s v="&quot;&quot;&quot;SKU:WHO-WILL-CRY01&quot;&quot;&quot;"/>
    <x v="26"/>
    <s v="49011010"/>
    <s v="Sale"/>
    <x v="0"/>
    <s v="Postpaid"/>
    <s v="NON_FBF"/>
    <s v="2025-09-30 00:00:00"/>
    <x v="3"/>
    <s v="2025-09-30 00:00:00"/>
    <s v="1.0"/>
    <s v="IN-RJ"/>
    <s v="NA"/>
    <s v="116.0"/>
    <s v="-14.0"/>
    <s v="-9.94"/>
    <s v="-4.06"/>
    <s v="102.0"/>
    <s v="0.0"/>
    <s v="102.0"/>
    <s v="0"/>
    <s v="102.0"/>
    <s v="0.0"/>
    <s v="0.0"/>
    <s v="0.0"/>
    <s v="0.0"/>
    <s v="0.0"/>
    <s v="0.0"/>
    <s v="0.0"/>
    <s v="0.0"/>
    <s v="0.0"/>
    <s v="0.0"/>
    <s v="0.0"/>
    <s v="0.0"/>
    <s v="0.0"/>
    <s v="0.0"/>
    <s v="0.0"/>
    <s v="0.0"/>
    <s v="0.0"/>
    <s v="0.0"/>
    <s v="0.0"/>
    <s v="FAMNXL2600000089"/>
    <s v="2025-09-30 00:00:00.0"/>
    <s v="102.0"/>
    <s v="800002"/>
    <s v="Bihar"/>
    <s v="800002"/>
    <s v="800002 – Patna"/>
    <x v="56"/>
    <x v="20"/>
    <s v="NA"/>
    <s v="false"/>
    <s v="0.1"/>
    <s v="0.102"/>
    <s v="NA"/>
    <s v="NA"/>
    <s v="NA"/>
    <s v="Kajal Kumari"/>
    <s v="NA"/>
  </r>
  <r>
    <s v="08FHGPP4088D1Z1"/>
    <s v="OD335576138663797100"/>
    <s v="335576138663797100"/>
    <s v="&quot;&quot;&quot;The Courage To Be Disliked Paperback, ICHIRO KISHIMI&quot;&quot;&quot;"/>
    <s v="&quot;&quot;&quot;RBKHD977G9ETW5N8&quot;&quot;&quot;"/>
    <s v="&quot;&quot;&quot;SKU:THE-COURAGE01&quot;&quot;&quot;"/>
    <x v="40"/>
    <s v="49011010"/>
    <s v="Sale"/>
    <x v="0"/>
    <s v="Prepaid"/>
    <s v="NON_FBF"/>
    <s v="2025-09-26 00:00:00"/>
    <x v="3"/>
    <s v="2025-09-26 00:00:00"/>
    <s v="1.0"/>
    <s v="IN-RJ"/>
    <s v="NA"/>
    <s v="120.0"/>
    <s v="-10.0"/>
    <s v="0.0"/>
    <s v="-10.0"/>
    <s v="110.0"/>
    <s v="0.0"/>
    <s v="110.0"/>
    <s v="0"/>
    <s v="110.0"/>
    <s v="0.0"/>
    <s v="0.0"/>
    <s v="0.0"/>
    <s v="0.0"/>
    <s v="0.0"/>
    <s v="0.0"/>
    <s v="0.0"/>
    <s v="0.0"/>
    <s v="0.0"/>
    <s v="0.0"/>
    <s v="0.0"/>
    <s v="0.0"/>
    <s v="0.0"/>
    <s v="0.0"/>
    <s v="0.0"/>
    <s v="0.0"/>
    <s v="0.0"/>
    <s v="0.0"/>
    <s v="0.0"/>
    <s v="FAMNXL2600000088"/>
    <s v="2025-09-26 00:00:00.0"/>
    <s v="110.0"/>
    <s v="602025"/>
    <s v="Tamil Nadu"/>
    <s v="602025"/>
    <s v="602025 – Puducherry"/>
    <x v="57"/>
    <x v="4"/>
    <s v="NA"/>
    <s v="false"/>
    <s v="0.1"/>
    <s v="0.11"/>
    <s v="NA"/>
    <s v="NA"/>
    <s v="NA"/>
    <s v="Varad"/>
    <s v="NA"/>
  </r>
  <r>
    <s v="08FHGPP4088D1Z1"/>
    <s v="OD435359362757903100"/>
    <s v="435359362757903100"/>
    <s v="&quot;&quot;&quot;The Magic of Thinking Big Paperback, David J. Schwartz&quot;&quot;&quot;"/>
    <s v="&quot;&quot;&quot;9789026699115&quot;&quot;&quot;"/>
    <s v="&quot;&quot;&quot;SKU:THE-MAGIC01&quot;&quot;&quot;"/>
    <x v="38"/>
    <s v="49011010"/>
    <s v="Return"/>
    <x v="2"/>
    <s v="Postpaid"/>
    <s v="NON_FBF"/>
    <s v="2025-09-01 00:00:00"/>
    <x v="3"/>
    <s v="2025-09-01 00:00:00"/>
    <s v="1.0"/>
    <s v="IN-RJ"/>
    <s v="NA"/>
    <s v="132.0"/>
    <s v="-30.0"/>
    <s v="0.0"/>
    <s v="-30.0"/>
    <s v="102.0"/>
    <s v="0.0"/>
    <s v="102.0"/>
    <s v="0"/>
    <s v="-102.0"/>
    <s v="0.0"/>
    <s v="0.0"/>
    <s v="0.0"/>
    <s v="0.0"/>
    <s v="0.0"/>
    <s v="0.0"/>
    <s v="0.0"/>
    <s v="0.0"/>
    <s v="0.0"/>
    <s v="0.0"/>
    <s v="0.0"/>
    <s v="0.0"/>
    <s v="0.0"/>
    <s v="0.0"/>
    <s v="0.0"/>
    <s v="0.0"/>
    <s v="0.0"/>
    <s v="0.0"/>
    <s v="0.0"/>
    <s v="RAKC4V2600000017"/>
    <s v="2025-09-11 00:00:00.0"/>
    <s v="-102.0"/>
    <s v="110096"/>
    <s v="Delhi"/>
    <s v="110096"/>
    <s v="110096 - New Delhi"/>
    <x v="41"/>
    <x v="21"/>
    <s v="NA"/>
    <s v="false"/>
    <s v="0.1"/>
    <s v="0.102"/>
    <s v="NA"/>
    <s v="NA"/>
    <s v="NA"/>
    <s v="Chandan"/>
    <s v="NA"/>
  </r>
  <r>
    <s v="08FHGPP4088D1Z1"/>
    <s v="OD335461772171297100"/>
    <s v="335461772171297100"/>
    <s v="&quot;&quot;&quot;Think And Grow Rich By Napoleon Hill-New Revised &amp; Updated Book Paperback, Napoleon Hill&quot;&quot;&quot;"/>
    <s v="&quot;&quot;&quot;RBKGHGEWFEXWJT3D&quot;&quot;&quot;"/>
    <s v="&quot;&quot;&quot;SKU:THANGRORICH&quot;&quot;&quot;"/>
    <x v="13"/>
    <s v="49011010"/>
    <s v="Sale"/>
    <x v="0"/>
    <s v="Postpaid"/>
    <s v="NON_FBF"/>
    <s v="2025-09-13 00:00:00"/>
    <x v="3"/>
    <s v="2025-09-13 00:00:00"/>
    <s v="1.0"/>
    <s v="IN-RJ"/>
    <s v="NA"/>
    <s v="168.0"/>
    <s v="-17.0"/>
    <s v="-12.07"/>
    <s v="-4.93"/>
    <s v="151.0"/>
    <s v="0.0"/>
    <s v="151.0"/>
    <s v="0"/>
    <s v="151.0"/>
    <s v="0.0"/>
    <s v="0.0"/>
    <s v="0.0"/>
    <s v="0.0"/>
    <s v="0.0"/>
    <s v="0.0"/>
    <s v="0.0"/>
    <s v="0.0"/>
    <s v="0.0"/>
    <s v="0.0"/>
    <s v="0.0"/>
    <s v="0.0"/>
    <s v="0.0"/>
    <s v="0.0"/>
    <s v="0.0"/>
    <s v="0.0"/>
    <s v="0.0"/>
    <s v="0.0"/>
    <s v="0.0"/>
    <s v="FAMNXL2600000084"/>
    <s v="2025-09-13 00:00:00.0"/>
    <s v="151.0"/>
    <s v="176031"/>
    <s v="Himachal Pradesh"/>
    <s v="176031"/>
    <s v="176031 – Shimla"/>
    <x v="58"/>
    <x v="24"/>
    <s v="NA"/>
    <s v="false"/>
    <s v="0.1"/>
    <s v="0.151"/>
    <s v="NA"/>
    <s v="NA"/>
    <s v="NA"/>
    <s v="Vishal Rana"/>
    <s v="NA"/>
  </r>
  <r>
    <s v="08FHGPP4088D1Z1"/>
    <s v="OD435359362757903100"/>
    <s v="435359362757903100"/>
    <s v="&quot;&quot;&quot;The Magic of Thinking Big Paperback, David J. Schwartz&quot;&quot;&quot;"/>
    <s v="&quot;&quot;&quot;9789026699115&quot;&quot;&quot;"/>
    <s v="&quot;&quot;&quot;SKU:THE-MAGIC01&quot;&quot;&quot;"/>
    <x v="38"/>
    <s v="49011010"/>
    <s v="Sale"/>
    <x v="0"/>
    <s v="Postpaid"/>
    <s v="NON_FBF"/>
    <s v="2025-09-01 00:00:00"/>
    <x v="3"/>
    <s v="2025-09-01 00:00:00"/>
    <s v="1.0"/>
    <s v="IN-RJ"/>
    <s v="NA"/>
    <s v="132.0"/>
    <s v="-30.0"/>
    <s v="0.0"/>
    <s v="-30.0"/>
    <s v="102.0"/>
    <s v="0.0"/>
    <s v="102.0"/>
    <s v="0"/>
    <s v="102.0"/>
    <s v="0.0"/>
    <s v="0.0"/>
    <s v="0.0"/>
    <s v="0.0"/>
    <s v="0.0"/>
    <s v="0.0"/>
    <s v="0.0"/>
    <s v="0.0"/>
    <s v="0.0"/>
    <s v="0.0"/>
    <s v="0.0"/>
    <s v="0.0"/>
    <s v="0.0"/>
    <s v="0.0"/>
    <s v="0.0"/>
    <s v="0.0"/>
    <s v="0.0"/>
    <s v="0.0"/>
    <s v="0.0"/>
    <s v="FAMNXL2600000080"/>
    <s v="2025-09-01 00:00:00.0"/>
    <s v="102.0"/>
    <s v="110096"/>
    <s v="Delhi"/>
    <s v="110096"/>
    <s v="110096 - New Delhi"/>
    <x v="41"/>
    <x v="21"/>
    <s v="NA"/>
    <s v="false"/>
    <s v="0.1"/>
    <s v="0.102"/>
    <s v="NA"/>
    <s v="NA"/>
    <s v="NA"/>
    <s v="Chandan"/>
    <s v="NA"/>
  </r>
  <r>
    <s v="08FHGPP4088D1Z1"/>
    <s v="OD435367160151091100"/>
    <s v="435367160151091109"/>
    <s v="&quot;&quot;&quot;Do More Better English, Paperback, Challies Tim&quot;&quot;&quot;"/>
    <s v="&quot;&quot;&quot;9781941114179&quot;&quot;&quot;"/>
    <s v="&quot;&quot;&quot;SKU:DOMORE-4&quot;&quot;&quot;"/>
    <x v="34"/>
    <s v="49011010"/>
    <s v="Sale"/>
    <x v="0"/>
    <s v="Prepaid"/>
    <s v="NON_FBF"/>
    <s v="2025-09-02 00:00:00"/>
    <x v="3"/>
    <s v="2025-09-02 00:00:00"/>
    <s v="1.0"/>
    <s v="IN-RJ"/>
    <s v="NA"/>
    <s v="130.0"/>
    <s v="0.0"/>
    <s v="0.0"/>
    <s v="0.0"/>
    <s v="130.0"/>
    <s v="0.0"/>
    <s v="130.0"/>
    <s v="0"/>
    <s v="130.0"/>
    <s v="0.0"/>
    <s v="0.0"/>
    <s v="0.0"/>
    <s v="0.0"/>
    <s v="0.0"/>
    <s v="0.0"/>
    <s v="0.0"/>
    <s v="0.0"/>
    <s v="0.0"/>
    <s v="0.0"/>
    <s v="0.0"/>
    <s v="0.0"/>
    <s v="0.0"/>
    <s v="0.0"/>
    <s v="0.0"/>
    <s v="0.0"/>
    <s v="0.0"/>
    <s v="0.0"/>
    <s v="0.0"/>
    <s v="FAMNXL2600000081"/>
    <s v="2025-09-02 00:00:00.0"/>
    <s v="130.0"/>
    <s v="712258"/>
    <s v="West Bengal"/>
    <s v="712258"/>
    <s v="712258 – Bardhaman"/>
    <x v="59"/>
    <x v="9"/>
    <s v="NA"/>
    <s v="false"/>
    <s v="0.1"/>
    <s v="0.13"/>
    <s v="NA"/>
    <s v="NA"/>
    <s v="NA"/>
    <s v="Shailesh"/>
    <s v="NA"/>
  </r>
  <r>
    <s v="08FHGPP4088D1Z1"/>
    <s v="OD335376053120901100"/>
    <s v="335376053120901100"/>
    <s v="&quot;&quot;&quot;Rich Dad Poor Dad - Hindi Paperback, Robert T. Kiyosaki&quot;&quot;&quot;"/>
    <s v="&quot;&quot;&quot;9788551004913&quot;&quot;&quot;"/>
    <s v="&quot;&quot;&quot;SKU:RICH-DAD-HINDI03&quot;&quot;&quot;"/>
    <x v="20"/>
    <s v="49011010"/>
    <s v="Sale"/>
    <x v="0"/>
    <s v="Postpaid"/>
    <s v="NON_FBF"/>
    <s v="2025-09-03 00:00:00"/>
    <x v="3"/>
    <s v="2025-09-03 00:00:00"/>
    <s v="1.0"/>
    <s v="IN-RJ"/>
    <s v="NA"/>
    <s v="126.0"/>
    <s v="-20.0"/>
    <s v="0.0"/>
    <s v="-20.0"/>
    <s v="106.0"/>
    <s v="0.0"/>
    <s v="106.0"/>
    <s v="0"/>
    <s v="106.0"/>
    <s v="0.0"/>
    <s v="0.0"/>
    <s v="0.0"/>
    <s v="0.0"/>
    <s v="0.0"/>
    <s v="0.0"/>
    <s v="0.0"/>
    <s v="0.0"/>
    <s v="0.0"/>
    <s v="0.0"/>
    <s v="0.0"/>
    <s v="0.0"/>
    <s v="0.0"/>
    <s v="0.0"/>
    <s v="0.0"/>
    <s v="0.0"/>
    <s v="0.0"/>
    <s v="0.0"/>
    <s v="0.0"/>
    <s v="FAMNXL2600000082"/>
    <s v="2025-09-03 00:00:00.0"/>
    <s v="106.0"/>
    <s v="803110"/>
    <s v="Bihar"/>
    <s v="803110"/>
    <s v="803110 - Bihar Sharif"/>
    <x v="46"/>
    <x v="20"/>
    <s v="NA"/>
    <s v="false"/>
    <s v="0.1"/>
    <s v="0.106"/>
    <s v="NA"/>
    <s v="NA"/>
    <s v="NA"/>
    <s v="Dipanshukumar"/>
    <s v="NA"/>
  </r>
  <r>
    <s v="08FHGPP4088D1Z1"/>
    <s v="OD435383254825674100"/>
    <s v="435383254825674100"/>
    <s v="&quot;&quot;&quot;The Magic Of Thinking Big + Ikigai Journey 2 Book Combo Paperback, JMD BOOKS&quot;&quot;&quot;"/>
    <s v="&quot;&quot;&quot;9780315535169&quot;&quot;&quot;"/>
    <s v="&quot;&quot;&quot;SKU:THE-MAGIC-IKIGAI&quot;&quot;&quot;"/>
    <x v="36"/>
    <s v="49011010"/>
    <s v="Sale"/>
    <x v="0"/>
    <s v="Prepaid"/>
    <s v="NON_FBF"/>
    <s v="2025-09-04 00:00:00"/>
    <x v="3"/>
    <s v="2025-09-04 00:00:00"/>
    <s v="1.0"/>
    <s v="IN-RJ"/>
    <s v="NA"/>
    <s v="204.0"/>
    <s v="-22.0"/>
    <s v="0.0"/>
    <s v="-22.0"/>
    <s v="182.0"/>
    <s v="0.0"/>
    <s v="182.0"/>
    <s v="0"/>
    <s v="182.0"/>
    <s v="0.0"/>
    <s v="0.0"/>
    <s v="0.0"/>
    <s v="0.0"/>
    <s v="0.0"/>
    <s v="0.0"/>
    <s v="0.0"/>
    <s v="0.0"/>
    <s v="0.0"/>
    <s v="0.0"/>
    <s v="0.0"/>
    <s v="0.0"/>
    <s v="0.0"/>
    <s v="0.0"/>
    <s v="0.0"/>
    <s v="0.0"/>
    <s v="0.0"/>
    <s v="0.0"/>
    <s v="0.0"/>
    <s v="FAMNXL2600000083"/>
    <s v="2025-09-04 00:00:00.0"/>
    <s v="182.0"/>
    <s v="580008"/>
    <s v="Karnataka"/>
    <s v="580008"/>
    <s v="580008 – Hubli"/>
    <x v="60"/>
    <x v="0"/>
    <s v="NA"/>
    <s v="false"/>
    <s v="0.1"/>
    <s v="0.182"/>
    <s v="NA"/>
    <s v="NA"/>
    <s v="NA"/>
    <s v="Shobha H"/>
    <s v="NA"/>
  </r>
  <r>
    <s v="08FHGPP4088D1Z1"/>
    <s v="OD335461772171297100"/>
    <s v="335461772171297100"/>
    <s v="&quot;&quot;&quot;Think And Grow Rich By Napoleon Hill-New Revised &amp; Updated Book Paperback, Napoleon Hill&quot;&quot;&quot;"/>
    <s v="&quot;&quot;&quot;RBKGHGEWFEXWJT3D&quot;&quot;&quot;"/>
    <s v="&quot;&quot;&quot;SKU:THANGRORICH&quot;&quot;&quot;"/>
    <x v="13"/>
    <s v="49011010"/>
    <s v="Return"/>
    <x v="2"/>
    <s v="Postpaid"/>
    <s v="NON_FBF"/>
    <s v="2025-09-13 00:00:00"/>
    <x v="3"/>
    <s v="2025-09-13 00:00:00"/>
    <s v="1.0"/>
    <s v="IN-RJ"/>
    <s v="NA"/>
    <s v="168.0"/>
    <s v="-17.0"/>
    <s v="-12.07"/>
    <s v="-4.93"/>
    <s v="151.0"/>
    <s v="0.0"/>
    <s v="151.0"/>
    <s v="0"/>
    <s v="-151.0"/>
    <s v="0.0"/>
    <s v="0.0"/>
    <s v="0.0"/>
    <s v="0.0"/>
    <s v="0.0"/>
    <s v="0.0"/>
    <s v="0.0"/>
    <s v="0.0"/>
    <s v="0.0"/>
    <s v="0.0"/>
    <s v="0.0"/>
    <s v="0.0"/>
    <s v="0.0"/>
    <s v="0.0"/>
    <s v="0.0"/>
    <s v="0.0"/>
    <s v="0.0"/>
    <s v="0.0"/>
    <s v="0.0"/>
    <s v="RAKC4V2600000018"/>
    <s v="2025-09-21 00:00:00.0"/>
    <s v="-151.0"/>
    <s v="176031"/>
    <s v="Himachal Pradesh"/>
    <s v="176031"/>
    <s v="176031 - Shimla"/>
    <x v="58"/>
    <x v="24"/>
    <s v="NA"/>
    <s v="false"/>
    <s v="0.1"/>
    <s v="0.151"/>
    <s v="NA"/>
    <s v="NA"/>
    <s v="NA"/>
    <s v="Vishal Rana"/>
    <s v="NA"/>
  </r>
  <r>
    <s v="08FHGPP4088D1Z1"/>
    <s v="OD335355629113614100"/>
    <s v="335355629113614100"/>
    <s v="&quot;&quot;&quot;Atomic Habits: Chote Badlav, Asadharan Parinaam Paperback, Hindi, James Clear&quot;&quot;&quot;"/>
    <s v="&quot;&quot;&quot;RBKHADV2H3JRFY4J&quot;&quot;&quot;"/>
    <s v="&quot;&quot;&quot;SKU:ATOMIC-HABIT-HINDI&quot;&quot;&quot;"/>
    <x v="41"/>
    <s v="49011010"/>
    <s v="Sale"/>
    <x v="0"/>
    <s v="Prepaid"/>
    <s v="NON_FBF"/>
    <s v="2025-09-01 00:00:00"/>
    <x v="3"/>
    <s v="2025-09-01 00:00:00"/>
    <s v="1.0"/>
    <s v="IN-RJ"/>
    <s v="NA"/>
    <s v="99.0"/>
    <s v="-20.0"/>
    <s v="0.0"/>
    <s v="-20.0"/>
    <s v="79.0"/>
    <s v="0.0"/>
    <s v="79.0"/>
    <s v="0"/>
    <s v="79.0"/>
    <s v="0.0"/>
    <s v="0.0"/>
    <s v="0.0"/>
    <s v="0.0"/>
    <s v="0.0"/>
    <s v="0.0"/>
    <s v="0.0"/>
    <s v="0.0"/>
    <s v="0.0"/>
    <s v="0.0"/>
    <s v="0.0"/>
    <s v="0.0"/>
    <s v="0.0"/>
    <s v="0.0"/>
    <s v="0.0"/>
    <s v="0.0"/>
    <s v="0.0"/>
    <s v="0.0"/>
    <s v="0.0"/>
    <s v="FAMNXL2600000079"/>
    <s v="2025-09-01 00:00:00.0"/>
    <s v="79.0"/>
    <s v="462022"/>
    <s v="Madhya Pradesh"/>
    <s v="462022"/>
    <s v="462022 – Bhopal"/>
    <x v="32"/>
    <x v="16"/>
    <s v="NA"/>
    <s v="false"/>
    <s v="0.1"/>
    <s v="0.079"/>
    <s v="NA"/>
    <s v="NA"/>
    <s v="NA"/>
    <s v="Mukesh Kumar"/>
    <s v="NA"/>
  </r>
  <r>
    <s v="08FHGPP4088D1Z1"/>
    <s v="OD335637632201925100"/>
    <s v="335637632201925100"/>
    <s v="&quot;&quot;&quot;The Courage To Be Disliked Paperback, ICHIRO KISHIMI&quot;&quot;&quot;"/>
    <s v="&quot;&quot;&quot;RBKHD977G9ETW5N8&quot;&quot;&quot;"/>
    <s v="&quot;&quot;&quot;SKU:THE-COURAGE01&quot;&quot;&quot;"/>
    <x v="40"/>
    <s v="49011010"/>
    <s v="Sale"/>
    <x v="0"/>
    <s v="Postpaid"/>
    <s v="NON_FBF"/>
    <s v="2025-10-04 00:00:00"/>
    <x v="4"/>
    <s v="2025-10-04 00:00:00"/>
    <s v="1.0"/>
    <s v="IN-RJ"/>
    <s v="NA"/>
    <s v="120.0"/>
    <s v="-10.0"/>
    <s v="0.0"/>
    <s v="-10.0"/>
    <s v="110.0"/>
    <s v="0.0"/>
    <s v="110.0"/>
    <s v="0"/>
    <s v="110.0"/>
    <s v="0.0"/>
    <s v="0.0"/>
    <s v="0.0"/>
    <s v="0.0"/>
    <s v="0.0"/>
    <s v="0.0"/>
    <s v="0.0"/>
    <s v="0.0"/>
    <s v="0.0"/>
    <s v="0.0"/>
    <s v="0.0"/>
    <s v="0.0"/>
    <s v="0.0"/>
    <s v="0.0"/>
    <s v="0.0"/>
    <s v="0.0"/>
    <s v="0.0"/>
    <s v="0.0"/>
    <s v="0.0"/>
    <s v="FAMNXL2600000091"/>
    <s v="2025-10-04 00:00:00.0"/>
    <s v="110.0"/>
    <s v="208025"/>
    <s v="Uttar Pradesh"/>
    <s v="208025"/>
    <s v="208025 – Agra"/>
    <x v="14"/>
    <x v="10"/>
    <s v="NA"/>
    <s v="false"/>
    <s v="0.1"/>
    <s v="0.11"/>
    <s v="NA"/>
    <s v="NA"/>
    <s v="NA"/>
    <s v="Wareesha"/>
    <s v="NA"/>
  </r>
  <r>
    <s v="08FHGPP4088D1Z1"/>
    <s v="OD435640606046495100"/>
    <s v="435640606046495101"/>
    <s v="&quot;&quot;&quot;The Courage To Be Disliked Paperback, ICHIRO KISHIMI&quot;&quot;&quot;"/>
    <s v="&quot;&quot;&quot;RBKHD977G9ETW5N8&quot;&quot;&quot;"/>
    <s v="&quot;&quot;&quot;SKU:THE-COURAGE01&quot;&quot;&quot;"/>
    <x v="40"/>
    <s v="49011010"/>
    <s v="Sale"/>
    <x v="0"/>
    <s v="Postpaid"/>
    <s v="NON_FBF"/>
    <s v="2025-10-04 00:00:00"/>
    <x v="4"/>
    <s v="2025-10-04 00:00:00"/>
    <s v="1.0"/>
    <s v="IN-RJ"/>
    <s v="NA"/>
    <s v="120.0"/>
    <s v="-10.0"/>
    <s v="0.0"/>
    <s v="-10.0"/>
    <s v="110.0"/>
    <s v="0.0"/>
    <s v="110.0"/>
    <s v="0"/>
    <s v="110.0"/>
    <s v="0.0"/>
    <s v="0.0"/>
    <s v="0.0"/>
    <s v="0.0"/>
    <s v="0.0"/>
    <s v="0.0"/>
    <s v="0.0"/>
    <s v="0.0"/>
    <s v="0.0"/>
    <s v="0.0"/>
    <s v="0.0"/>
    <s v="0.0"/>
    <s v="0.0"/>
    <s v="0.0"/>
    <s v="0.0"/>
    <s v="0.0"/>
    <s v="0.0"/>
    <s v="0.0"/>
    <s v="0.0"/>
    <s v="FAMNXL2600000092"/>
    <s v="2025-10-04 00:00:00.0"/>
    <s v="110.0"/>
    <s v="560057"/>
    <s v="Karnataka"/>
    <s v="560057"/>
    <s v="560057 – Bengaluru"/>
    <x v="24"/>
    <x v="0"/>
    <s v="NA"/>
    <s v="false"/>
    <s v="0.1"/>
    <s v="0.11"/>
    <s v="NA"/>
    <s v="NA"/>
    <s v="NA"/>
    <s v="Sri Ram Kulkarni"/>
    <s v="NA"/>
  </r>
  <r>
    <s v="08FHGPP4088D1Z1"/>
    <s v="OD435643050393536100"/>
    <s v="435643050393536100"/>
    <s v="&quot;&quot;&quot;The Courage To Be Disliked Paperback, ICHIRO KISHIMI&quot;&quot;&quot;"/>
    <s v="&quot;&quot;&quot;RBKHD977G9ETW5N8&quot;&quot;&quot;"/>
    <s v="&quot;&quot;&quot;SKU:THE-COURAGE01&quot;&quot;&quot;"/>
    <x v="40"/>
    <s v="49011010"/>
    <s v="Sale"/>
    <x v="0"/>
    <s v="Postpaid"/>
    <s v="NON_FBF"/>
    <s v="2025-10-04 00:00:00"/>
    <x v="4"/>
    <s v="2025-10-04 00:00:00"/>
    <s v="1.0"/>
    <s v="IN-RJ"/>
    <s v="NA"/>
    <s v="120.0"/>
    <s v="0.0"/>
    <s v="0.0"/>
    <s v="0.0"/>
    <s v="120.0"/>
    <s v="0.0"/>
    <s v="120.0"/>
    <s v="0"/>
    <s v="120.0"/>
    <s v="0.0"/>
    <s v="0.0"/>
    <s v="0.0"/>
    <s v="0.0"/>
    <s v="0.0"/>
    <s v="0.0"/>
    <s v="0.0"/>
    <s v="0.0"/>
    <s v="0.0"/>
    <s v="0.0"/>
    <s v="0.0"/>
    <s v="0.0"/>
    <s v="0.0"/>
    <s v="0.0"/>
    <s v="0.0"/>
    <s v="0.0"/>
    <s v="0.0"/>
    <s v="0.0"/>
    <s v="0.0"/>
    <s v="FAMNXL2600000093"/>
    <s v="2025-10-04 00:00:00.0"/>
    <s v="120.0"/>
    <s v="324004"/>
    <s v="Rajasthan"/>
    <s v="324004"/>
    <s v="324004 – Jodhpur"/>
    <x v="61"/>
    <x v="19"/>
    <s v="NA"/>
    <s v="false"/>
    <s v="0.1"/>
    <s v="0.12"/>
    <s v="NA"/>
    <s v="NA"/>
    <s v="NA"/>
    <s v="Kusum Pareta"/>
    <s v="NA"/>
  </r>
  <r>
    <s v="08FHGPP4088D1Z1"/>
    <s v="OD435652266104442100"/>
    <s v="435652266104442100"/>
    <s v="&quot;&quot;&quot;Think And Grow Rich By Napoleon Hill-New Revised &amp; Updated Book Paperback, Napoleon Hill&quot;&quot;&quot;"/>
    <s v="&quot;&quot;&quot;RBKGHGEWFEXWJT3D&quot;&quot;&quot;"/>
    <s v="&quot;&quot;&quot;SKU:THANGRORICH&quot;&quot;&quot;"/>
    <x v="13"/>
    <s v="49011010"/>
    <s v="Return"/>
    <x v="1"/>
    <s v="Postpaid"/>
    <s v="NON_FBF"/>
    <s v="2025-10-05 00:00:00"/>
    <x v="4"/>
    <s v="2025-10-05 00:00:00"/>
    <s v="1.0"/>
    <s v="IN-RJ"/>
    <s v="NA"/>
    <s v="168.0"/>
    <s v="-17.0"/>
    <s v="-12.07"/>
    <s v="-4.93"/>
    <s v="151.0"/>
    <s v="0.0"/>
    <s v="151.0"/>
    <s v="0"/>
    <s v="-151.0"/>
    <s v="0.0"/>
    <s v="0.0"/>
    <s v="0.0"/>
    <s v="0.0"/>
    <s v="0.0"/>
    <s v="0.0"/>
    <s v="0.0"/>
    <s v="0.0"/>
    <s v="0.0"/>
    <s v="0.0"/>
    <s v="0.0"/>
    <s v="0.0"/>
    <s v="0.0"/>
    <s v="0.0"/>
    <s v="0.0"/>
    <s v="0.0"/>
    <s v="0.0"/>
    <s v="0.0"/>
    <s v="0.0"/>
    <s v="RAKC4V2600000020"/>
    <s v="2025-10-06 00:00:00.0"/>
    <s v="-151.0"/>
    <s v="722136"/>
    <s v="West Bengal"/>
    <s v="722136"/>
    <s v="722136 – Howrah"/>
    <x v="44"/>
    <x v="9"/>
    <s v="NA"/>
    <s v="false"/>
    <s v="0.1"/>
    <s v="0.151"/>
    <s v="NA"/>
    <s v="NA"/>
    <s v="NA"/>
    <s v="Santanu Mahadani"/>
    <s v="NA"/>
  </r>
  <r>
    <s v="08FHGPP4088D1Z1"/>
    <s v="OD435641341195988100"/>
    <s v="435641341195988100"/>
    <s v="&quot;&quot;&quot;The Courage To Be Disliked Paperback, ICHIRO KISHIMI&quot;&quot;&quot;"/>
    <s v="&quot;&quot;&quot;RBKHD977G9ETW5N8&quot;&quot;&quot;"/>
    <s v="&quot;&quot;&quot;SKU:THE-COURAGE01&quot;&quot;&quot;"/>
    <x v="40"/>
    <s v="49011010"/>
    <s v="Sale"/>
    <x v="0"/>
    <s v="Prepaid"/>
    <s v="NON_FBF"/>
    <s v="2025-10-04 00:00:00"/>
    <x v="4"/>
    <s v="2025-10-04 00:00:00"/>
    <s v="1.0"/>
    <s v="IN-RJ"/>
    <s v="NA"/>
    <s v="120.0"/>
    <s v="-10.0"/>
    <s v="0.0"/>
    <s v="-10.0"/>
    <s v="110.0"/>
    <s v="0.0"/>
    <s v="110.0"/>
    <s v="0"/>
    <s v="110.0"/>
    <s v="0.0"/>
    <s v="0.0"/>
    <s v="0.0"/>
    <s v="0.0"/>
    <s v="0.0"/>
    <s v="0.0"/>
    <s v="0.0"/>
    <s v="0.0"/>
    <s v="0.0"/>
    <s v="0.0"/>
    <s v="0.0"/>
    <s v="0.0"/>
    <s v="0.0"/>
    <s v="0.0"/>
    <s v="0.0"/>
    <s v="0.0"/>
    <s v="0.0"/>
    <s v="0.0"/>
    <s v="0.0"/>
    <s v="FAMNXL2600000094"/>
    <s v="2025-10-05 00:00:00.0"/>
    <s v="110.0"/>
    <s v="412101"/>
    <s v="Maharashtra"/>
    <s v="412101"/>
    <s v="412101 – Pune"/>
    <x v="3"/>
    <x v="3"/>
    <s v="NA"/>
    <s v="false"/>
    <s v="0.1"/>
    <s v="0.11"/>
    <s v="NA"/>
    <s v="NA"/>
    <s v="NA"/>
    <s v="Hemant Ahire"/>
    <s v="NA"/>
  </r>
  <r>
    <s v="08FHGPP4088D1Z1"/>
    <s v="OD435642584062459100"/>
    <s v="435642584062459100"/>
    <s v="&quot;&quot;&quot;The Courage To Be Disliked Paperback, ICHIRO KISHIMI&quot;&quot;&quot;"/>
    <s v="&quot;&quot;&quot;RBKHD977G9ETW5N8&quot;&quot;&quot;"/>
    <s v="&quot;&quot;&quot;SKU:THE-COURAGE01&quot;&quot;&quot;"/>
    <x v="40"/>
    <s v="49011010"/>
    <s v="Sale"/>
    <x v="0"/>
    <s v="Prepaid"/>
    <s v="NON_FBF"/>
    <s v="2025-10-04 00:00:00"/>
    <x v="4"/>
    <s v="2025-10-04 00:00:00"/>
    <s v="1.0"/>
    <s v="IN-RJ"/>
    <s v="NA"/>
    <s v="120.0"/>
    <s v="0.0"/>
    <s v="0.0"/>
    <s v="0.0"/>
    <s v="120.0"/>
    <s v="0.0"/>
    <s v="120.0"/>
    <s v="0"/>
    <s v="120.0"/>
    <s v="0.0"/>
    <s v="0.0"/>
    <s v="0.0"/>
    <s v="0.0"/>
    <s v="0.0"/>
    <s v="0.0"/>
    <s v="0.0"/>
    <s v="0.0"/>
    <s v="0.0"/>
    <s v="0.0"/>
    <s v="0.0"/>
    <s v="0.0"/>
    <s v="0.0"/>
    <s v="0.0"/>
    <s v="0.0"/>
    <s v="0.0"/>
    <s v="0.0"/>
    <s v="0.0"/>
    <s v="0.0"/>
    <s v="FAMNXL2600000095"/>
    <s v="2025-10-05 00:00:00.0"/>
    <s v="120.0"/>
    <s v="560045"/>
    <s v="Karnataka"/>
    <s v="560045"/>
    <s v="560045 - Bengaluru"/>
    <x v="24"/>
    <x v="0"/>
    <s v="NA"/>
    <s v="false"/>
    <s v="0.1"/>
    <s v="0.12"/>
    <s v="NA"/>
    <s v="NA"/>
    <s v="NA"/>
    <s v="Harsh Maurya"/>
    <s v="NA"/>
  </r>
  <r>
    <s v="08FHGPP4088D1Z1"/>
    <s v="OD335640871819483100"/>
    <s v="335640871819483102"/>
    <s v="&quot;&quot;&quot;The Courage To Be Disliked Paperback, ICHIRO KISHIMI&quot;&quot;&quot;"/>
    <s v="&quot;&quot;&quot;RBKHD977G9ETW5N8&quot;&quot;&quot;"/>
    <s v="&quot;&quot;&quot;SKU:THE-COURAGE01&quot;&quot;&quot;"/>
    <x v="40"/>
    <s v="49011010"/>
    <s v="Sale"/>
    <x v="0"/>
    <s v="Prepaid"/>
    <s v="NON_FBF"/>
    <s v="2025-10-04 00:00:00"/>
    <x v="4"/>
    <s v="2025-10-04 00:00:00"/>
    <s v="1.0"/>
    <s v="IN-RJ"/>
    <s v="NA"/>
    <s v="120.0"/>
    <s v="0.0"/>
    <s v="0.0"/>
    <s v="0.0"/>
    <s v="120.0"/>
    <s v="0.0"/>
    <s v="120.0"/>
    <s v="0"/>
    <s v="120.0"/>
    <s v="0.0"/>
    <s v="0.0"/>
    <s v="0.0"/>
    <s v="0.0"/>
    <s v="0.0"/>
    <s v="0.0"/>
    <s v="0.0"/>
    <s v="0.0"/>
    <s v="0.0"/>
    <s v="0.0"/>
    <s v="0.0"/>
    <s v="0.0"/>
    <s v="0.0"/>
    <s v="0.0"/>
    <s v="0.0"/>
    <s v="0.0"/>
    <s v="0.0"/>
    <s v="0.0"/>
    <s v="0.0"/>
    <s v="FAMNXL2600000098"/>
    <s v="2025-10-05 00:00:00.0"/>
    <s v="120.0"/>
    <s v="122004"/>
    <s v="Haryana"/>
    <s v="122004"/>
    <s v="122004 – Ambala"/>
    <x v="49"/>
    <x v="22"/>
    <s v="NA"/>
    <s v="false"/>
    <s v="0.1"/>
    <s v="0.12"/>
    <s v="NA"/>
    <s v="NA"/>
    <s v="NA"/>
    <s v="Dharmendra"/>
    <s v="NA"/>
  </r>
  <r>
    <s v="08FHGPP4088D1Z1"/>
    <s v="OD435642086889668100"/>
    <s v="435642086889668100"/>
    <s v="&quot;&quot;&quot;The Courage To Be Disliked Paperback, ICHIRO KISHIMI&quot;&quot;&quot;"/>
    <s v="&quot;&quot;&quot;RBKHD977G9ETW5N8&quot;&quot;&quot;"/>
    <s v="&quot;&quot;&quot;SKU:THE-COURAGE01&quot;&quot;&quot;"/>
    <x v="40"/>
    <s v="49011010"/>
    <s v="Sale"/>
    <x v="0"/>
    <s v="Postpaid"/>
    <s v="NON_FBF"/>
    <s v="2025-10-04 00:00:00"/>
    <x v="4"/>
    <s v="2025-10-04 00:00:00"/>
    <s v="1.0"/>
    <s v="IN-RJ"/>
    <s v="NA"/>
    <s v="120.0"/>
    <s v="-20.0"/>
    <s v="0.0"/>
    <s v="-20.0"/>
    <s v="100.0"/>
    <s v="0.0"/>
    <s v="100.0"/>
    <s v="0"/>
    <s v="100.0"/>
    <s v="0.0"/>
    <s v="0.0"/>
    <s v="0.0"/>
    <s v="0.0"/>
    <s v="0.0"/>
    <s v="0.0"/>
    <s v="0.0"/>
    <s v="0.0"/>
    <s v="0.0"/>
    <s v="0.0"/>
    <s v="0.0"/>
    <s v="0.0"/>
    <s v="0.0"/>
    <s v="0.0"/>
    <s v="0.0"/>
    <s v="0.0"/>
    <s v="0.0"/>
    <s v="0.0"/>
    <s v="0.0"/>
    <s v="FAMNXL2600000097"/>
    <s v="2025-10-05 00:00:00.0"/>
    <s v="100.0"/>
    <s v="804403"/>
    <s v="Bihar"/>
    <s v="804403"/>
    <s v="804403 – Hazaribagh"/>
    <x v="62"/>
    <x v="20"/>
    <s v="NA"/>
    <s v="false"/>
    <s v="0.1"/>
    <s v="0.1"/>
    <s v="NA"/>
    <s v="NA"/>
    <s v="NA"/>
    <s v="Rudra"/>
    <s v="NA"/>
  </r>
  <r>
    <s v="08FHGPP4088D1Z1"/>
    <s v="OD435641636651647100"/>
    <s v="435641636651647100"/>
    <s v="&quot;&quot;&quot;The Courage To Be Disliked Paperback, ICHIRO KISHIMI&quot;&quot;&quot;"/>
    <s v="&quot;&quot;&quot;RBKHD977G9ETW5N8&quot;&quot;&quot;"/>
    <s v="&quot;&quot;&quot;SKU:THE-COURAGE01&quot;&quot;&quot;"/>
    <x v="40"/>
    <s v="49011010"/>
    <s v="Sale"/>
    <x v="0"/>
    <s v="Prepaid"/>
    <s v="NON_FBF"/>
    <s v="2025-10-04 00:00:00"/>
    <x v="4"/>
    <s v="2025-10-04 00:00:00"/>
    <s v="1.0"/>
    <s v="IN-RJ"/>
    <s v="NA"/>
    <s v="120.0"/>
    <s v="-10.0"/>
    <s v="0.0"/>
    <s v="-10.0"/>
    <s v="110.0"/>
    <s v="0.0"/>
    <s v="110.0"/>
    <s v="0"/>
    <s v="110.0"/>
    <s v="0.0"/>
    <s v="0.0"/>
    <s v="0.0"/>
    <s v="0.0"/>
    <s v="0.0"/>
    <s v="0.0"/>
    <s v="0.0"/>
    <s v="0.0"/>
    <s v="0.0"/>
    <s v="0.0"/>
    <s v="0.0"/>
    <s v="0.0"/>
    <s v="0.0"/>
    <s v="0.0"/>
    <s v="0.0"/>
    <s v="0.0"/>
    <s v="0.0"/>
    <s v="0.0"/>
    <s v="0.0"/>
    <s v="FAMNXL2600000099"/>
    <s v="2025-10-05 00:00:00.0"/>
    <s v="110.0"/>
    <s v="201009"/>
    <s v="Uttar Pradesh"/>
    <s v="201009"/>
    <s v="201009 – Meerut"/>
    <x v="26"/>
    <x v="10"/>
    <s v="NA"/>
    <s v="false"/>
    <s v="0.1"/>
    <s v="0.11"/>
    <s v="NA"/>
    <s v="NA"/>
    <s v="NA"/>
    <s v="Ritik Pathak"/>
    <s v="NA"/>
  </r>
  <r>
    <s v="08FHGPP4088D1Z1"/>
    <s v="OD435642257304161100"/>
    <s v="435642257304161103"/>
    <s v="&quot;&quot;&quot;The Courage To Be Disliked Paperback, ICHIRO KISHIMI&quot;&quot;&quot;"/>
    <s v="&quot;&quot;&quot;RBKHD977G9ETW5N8&quot;&quot;&quot;"/>
    <s v="&quot;&quot;&quot;SKU:THE-COURAGE01&quot;&quot;&quot;"/>
    <x v="40"/>
    <s v="49011010"/>
    <s v="Sale"/>
    <x v="0"/>
    <s v="Prepaid"/>
    <s v="NON_FBF"/>
    <s v="2025-10-04 00:00:00"/>
    <x v="4"/>
    <s v="2025-10-04 00:00:00"/>
    <s v="1.0"/>
    <s v="IN-RJ"/>
    <s v="NA"/>
    <s v="120.0"/>
    <s v="-10.0"/>
    <s v="0.0"/>
    <s v="-10.0"/>
    <s v="110.0"/>
    <s v="0.0"/>
    <s v="110.0"/>
    <s v="0"/>
    <s v="110.0"/>
    <s v="0.0"/>
    <s v="0.0"/>
    <s v="0.0"/>
    <s v="0.0"/>
    <s v="0.0"/>
    <s v="0.0"/>
    <s v="0.0"/>
    <s v="0.0"/>
    <s v="0.0"/>
    <s v="0.0"/>
    <s v="0.0"/>
    <s v="0.0"/>
    <s v="0.0"/>
    <s v="0.0"/>
    <s v="0.0"/>
    <s v="0.0"/>
    <s v="0.0"/>
    <s v="0.0"/>
    <s v="0.0"/>
    <s v="FAMNXL2600000096"/>
    <s v="2025-10-05 00:00:00.0"/>
    <s v="110.0"/>
    <s v="440017"/>
    <s v="Maharashtra"/>
    <s v="440017"/>
    <s v="440017 – Akola"/>
    <x v="63"/>
    <x v="3"/>
    <s v="NA"/>
    <s v="false"/>
    <s v="0.1"/>
    <s v="0.11"/>
    <s v="NA"/>
    <s v="NA"/>
    <s v="NA"/>
    <s v="Shreya Gadlinge"/>
    <s v="NA"/>
  </r>
  <r>
    <s v="08FHGPP4088D1Z1"/>
    <s v="OD335659945199884100"/>
    <s v="335659945199884100"/>
    <s v="&quot;&quot;&quot;The Magic Of Thinking Big + Ikigai Journey 2 Book Combo Paperback, JMD BOOKS&quot;&quot;&quot;"/>
    <s v="&quot;&quot;&quot;9780315535169&quot;&quot;&quot;"/>
    <s v="&quot;&quot;&quot;SKU:THE-MAGIC-IKIGAI&quot;&quot;&quot;"/>
    <x v="36"/>
    <s v="49011010"/>
    <s v="Sale"/>
    <x v="0"/>
    <s v="Postpaid"/>
    <s v="NON_FBF"/>
    <s v="2025-10-06 00:00:00"/>
    <x v="4"/>
    <s v="2025-10-06 00:00:00"/>
    <s v="1.0"/>
    <s v="IN-RJ"/>
    <s v="NA"/>
    <s v="204.0"/>
    <s v="-20.0"/>
    <s v="-14.2"/>
    <s v="-5.8"/>
    <s v="184.0"/>
    <s v="0.0"/>
    <s v="184.0"/>
    <s v="0"/>
    <s v="184.0"/>
    <s v="0.0"/>
    <s v="0.0"/>
    <s v="0.0"/>
    <s v="0.0"/>
    <s v="0.0"/>
    <s v="0.0"/>
    <s v="0.0"/>
    <s v="0.0"/>
    <s v="0.0"/>
    <s v="0.0"/>
    <s v="0.0"/>
    <s v="0.0"/>
    <s v="0.0"/>
    <s v="0.0"/>
    <s v="0.0"/>
    <s v="0.0"/>
    <s v="0.0"/>
    <s v="0.0"/>
    <s v="0.0"/>
    <s v="FAMNXL2600000102"/>
    <s v="2025-10-07 00:00:00.0"/>
    <s v="184.0"/>
    <s v="413531"/>
    <s v="Maharashtra"/>
    <s v="413531"/>
    <s v="413531_x0009_- Solapur"/>
    <x v="5"/>
    <x v="3"/>
    <s v="NA"/>
    <s v="false"/>
    <s v="0.1"/>
    <s v="0.184"/>
    <s v="NA"/>
    <s v="NA"/>
    <s v="NA"/>
    <s v="RAKHI BADEKAR"/>
    <s v="NA"/>
  </r>
  <r>
    <s v="08FHGPP4088D1Z1"/>
    <s v="OD335633498054371100"/>
    <s v="335633498054371100"/>
    <s v="&quot;&quot;&quot;The Magic Of Big Thinking Paperback, Schwartz David J Paperback, Schwartz David J&quot;&quot;&quot;"/>
    <s v="&quot;&quot;&quot;RBKGWA38TAPS5TEK&quot;&quot;&quot;"/>
    <s v="&quot;&quot;&quot;SKU:THE-MAGIC04&quot;&quot;&quot;"/>
    <x v="42"/>
    <s v="49011010"/>
    <s v="Sale"/>
    <x v="0"/>
    <s v="Postpaid"/>
    <s v="NON_FBF"/>
    <s v="2025-10-03 00:00:00"/>
    <x v="4"/>
    <s v="2025-10-03 00:00:00"/>
    <s v="1.0"/>
    <s v="IN-RJ"/>
    <s v="NA"/>
    <s v="120.0"/>
    <s v="0.0"/>
    <s v="0.0"/>
    <s v="0.0"/>
    <s v="120.0"/>
    <s v="0.0"/>
    <s v="120.0"/>
    <s v="0"/>
    <s v="120.0"/>
    <s v="0.0"/>
    <s v="0.0"/>
    <s v="0.0"/>
    <s v="0.0"/>
    <s v="0.0"/>
    <s v="0.0"/>
    <s v="0.0"/>
    <s v="0.0"/>
    <s v="0.0"/>
    <s v="0.0"/>
    <s v="0.0"/>
    <s v="0.0"/>
    <s v="0.0"/>
    <s v="0.0"/>
    <s v="0.0"/>
    <s v="0.0"/>
    <s v="0.0"/>
    <s v="0.0"/>
    <s v="0.0"/>
    <s v="FAMNXL2600000101"/>
    <s v="2025-10-06 00:00:00.0"/>
    <s v="120.0"/>
    <s v="602026"/>
    <s v="Tamil Nadu"/>
    <s v="602026"/>
    <s v="602026 – Puducherry"/>
    <x v="57"/>
    <x v="4"/>
    <s v="NA"/>
    <s v="false"/>
    <s v="0.1"/>
    <s v="0.12"/>
    <s v="NA"/>
    <s v="NA"/>
    <s v="NA"/>
    <s v="Nithya Namachivayam"/>
    <s v="NA"/>
  </r>
  <r>
    <s v="08FHGPP4088D1Z1"/>
    <s v="OD435640606046495100"/>
    <s v="435640606046495101"/>
    <s v="&quot;&quot;&quot;The Courage To Be Disliked Paperback, ICHIRO KISHIMI&quot;&quot;&quot;"/>
    <s v="&quot;&quot;&quot;RBKHD977G9ETW5N8&quot;&quot;&quot;"/>
    <s v="&quot;&quot;&quot;SKU:THE-COURAGE01&quot;&quot;&quot;"/>
    <x v="40"/>
    <s v="49011010"/>
    <s v="Return"/>
    <x v="2"/>
    <s v="Postpaid"/>
    <s v="NON_FBF"/>
    <s v="2025-10-04 00:00:00"/>
    <x v="4"/>
    <s v="2025-10-04 00:00:00"/>
    <s v="1.0"/>
    <s v="IN-RJ"/>
    <s v="NA"/>
    <s v="120.0"/>
    <s v="-10.0"/>
    <s v="0.0"/>
    <s v="-10.0"/>
    <s v="110.0"/>
    <s v="0.0"/>
    <s v="110.0"/>
    <s v="0"/>
    <s v="110.0"/>
    <s v="0.0"/>
    <s v="0.0"/>
    <s v="0.0"/>
    <s v="0.0"/>
    <s v="0.0"/>
    <s v="0.0"/>
    <s v="0.0"/>
    <s v="0.0"/>
    <s v="0.0"/>
    <s v="0.0"/>
    <s v="0.0"/>
    <s v="0.0"/>
    <s v="0.0"/>
    <s v="0.0"/>
    <s v="0.0"/>
    <s v="0.0"/>
    <s v="0.0"/>
    <s v="0.0"/>
    <s v="0.0"/>
    <s v="B8B1R2600000003"/>
    <s v="2025-10-11 00:00:00.0"/>
    <s v="110.0"/>
    <s v="560057"/>
    <s v="Karnataka"/>
    <s v="560057"/>
    <s v="560057 - Bengaluru"/>
    <x v="24"/>
    <x v="0"/>
    <s v="NA"/>
    <s v="false"/>
    <s v="0.1"/>
    <s v="0.11"/>
    <s v="NA"/>
    <s v="NA"/>
    <s v="NA"/>
    <s v="Sri Ram Kulkarni"/>
    <s v="NA"/>
  </r>
  <r>
    <s v="08FHGPP4088D1Z1"/>
    <s v="OD435640606046495100"/>
    <s v="435640606046495101"/>
    <s v="&quot;&quot;&quot;The Courage To Be Disliked Paperback, ICHIRO KISHIMI&quot;&quot;&quot;"/>
    <s v="&quot;&quot;&quot;RBKHD977G9ETW5N8&quot;&quot;&quot;"/>
    <s v="&quot;&quot;&quot;SKU:THE-COURAGE01&quot;&quot;&quot;"/>
    <x v="40"/>
    <s v="49011010"/>
    <s v="Return"/>
    <x v="2"/>
    <s v="Postpaid"/>
    <s v="NON_FBF"/>
    <s v="2025-10-04 00:00:00"/>
    <x v="4"/>
    <s v="2025-10-04 00:00:00"/>
    <s v="1.0"/>
    <s v="IN-RJ"/>
    <s v="NA"/>
    <s v="120.0"/>
    <s v="-10.0"/>
    <s v="0.0"/>
    <s v="-10.0"/>
    <s v="110.0"/>
    <s v="0.0"/>
    <s v="110.0"/>
    <s v="0"/>
    <s v="-110.0"/>
    <s v="0.0"/>
    <s v="0.0"/>
    <s v="0.0"/>
    <s v="0.0"/>
    <s v="0.0"/>
    <s v="0.0"/>
    <s v="0.0"/>
    <s v="0.0"/>
    <s v="0.0"/>
    <s v="0.0"/>
    <s v="0.0"/>
    <s v="0.0"/>
    <s v="0.0"/>
    <s v="0.0"/>
    <s v="0.0"/>
    <s v="0.0"/>
    <s v="0.0"/>
    <s v="0.0"/>
    <s v="0.0"/>
    <s v="RAKC4V2600000021"/>
    <s v="2025-10-11 00:00:00.0"/>
    <s v="-110.0"/>
    <s v="560057"/>
    <s v="Karnataka"/>
    <s v="560057"/>
    <s v="560057 - Bengaluru"/>
    <x v="24"/>
    <x v="0"/>
    <s v="NA"/>
    <s v="false"/>
    <s v="0.1"/>
    <s v="0.11"/>
    <s v="NA"/>
    <s v="NA"/>
    <s v="NA"/>
    <s v="Sri Ram Kulkarni"/>
    <s v="NA"/>
  </r>
  <r>
    <s v="08FHGPP4088D1Z1"/>
    <s v="OD335718137533689100"/>
    <s v="335718137533689101"/>
    <s v="&quot;&quot;&quot;The Psychology of Money Paperback, Housel Morgan&quot;&quot;&quot;"/>
    <s v="&quot;&quot;&quot;9786297116129&quot;&quot;&quot;"/>
    <s v="&quot;&quot;&quot;SKU:PSYCH05&quot;&quot;&quot;"/>
    <x v="43"/>
    <s v="49011010"/>
    <s v="Sale"/>
    <x v="0"/>
    <s v="Prepaid"/>
    <s v="NON_FBF"/>
    <s v="2025-10-13 00:00:00"/>
    <x v="4"/>
    <s v="2025-10-13 00:00:00"/>
    <s v="1.0"/>
    <s v="IN-RJ"/>
    <s v="NA"/>
    <s v="106.0"/>
    <s v="-13.0"/>
    <s v="-9.23"/>
    <s v="-3.77"/>
    <s v="93.0"/>
    <s v="0.0"/>
    <s v="93.0"/>
    <s v="0"/>
    <s v="93.0"/>
    <s v="0.0"/>
    <s v="0.0"/>
    <s v="0.0"/>
    <s v="0.0"/>
    <s v="0.0"/>
    <s v="0.0"/>
    <s v="0.0"/>
    <s v="0.0"/>
    <s v="0.0"/>
    <s v="0.0"/>
    <s v="0.0"/>
    <s v="0.0"/>
    <s v="0.0"/>
    <s v="0.0"/>
    <s v="0.0"/>
    <s v="0.0"/>
    <s v="0.0"/>
    <s v="0.0"/>
    <s v="0.0"/>
    <s v="FAMNXL2600000104"/>
    <s v="2025-10-14 00:00:00.0"/>
    <s v="93.0"/>
    <s v="110045"/>
    <s v="Delhi"/>
    <s v="110045"/>
    <s v="110045 – New Delhi"/>
    <x v="41"/>
    <x v="21"/>
    <s v="NA"/>
    <s v="false"/>
    <s v="0.1"/>
    <s v="0.093"/>
    <s v="NA"/>
    <s v="NA"/>
    <s v="NA"/>
    <s v="Mihir N"/>
    <s v="NA"/>
  </r>
  <r>
    <s v="08FHGPP4088D1Z1"/>
    <s v="OD335608734099642100"/>
    <s v="335608734099642100"/>
    <s v="&quot;&quot;&quot;Who Will Cry When You Die? Paperback, Robin Sharma Paperback, Robin Sharma&quot;&quot;&quot;"/>
    <s v="&quot;&quot;&quot;RBKHB9HJMHVREPGP&quot;&quot;&quot;"/>
    <s v="&quot;&quot;&quot;SKU:WHO-WILL-CRY01&quot;&quot;&quot;"/>
    <x v="26"/>
    <s v="49011010"/>
    <s v="Return"/>
    <x v="1"/>
    <s v="Postpaid"/>
    <s v="NON_FBF"/>
    <s v="2025-09-30 00:00:00"/>
    <x v="3"/>
    <s v="2025-09-30 00:00:00"/>
    <s v="1.0"/>
    <s v="IN-RJ"/>
    <s v="NA"/>
    <s v="116.0"/>
    <s v="-14.0"/>
    <s v="-9.94"/>
    <s v="-4.06"/>
    <s v="102.0"/>
    <s v="0.0"/>
    <s v="102.0"/>
    <s v="0"/>
    <s v="-102.0"/>
    <s v="0.0"/>
    <s v="0.0"/>
    <s v="0.0"/>
    <s v="0.0"/>
    <s v="0.0"/>
    <s v="0.0"/>
    <s v="0.0"/>
    <s v="0.0"/>
    <s v="0.0"/>
    <s v="0.0"/>
    <s v="0.0"/>
    <s v="0.0"/>
    <s v="0.0"/>
    <s v="0.0"/>
    <s v="0.0"/>
    <s v="0.0"/>
    <s v="0.0"/>
    <s v="0.0"/>
    <s v="0.0"/>
    <s v="RAKC4V2600000019"/>
    <s v="2025-10-01 00:00:00.0"/>
    <s v="-102.0"/>
    <s v="800002"/>
    <s v="Bihar"/>
    <s v="800002"/>
    <s v="800002 - Patna"/>
    <x v="56"/>
    <x v="20"/>
    <s v="NA"/>
    <s v="false"/>
    <s v="0.1"/>
    <s v="0.102"/>
    <s v="NA"/>
    <s v="NA"/>
    <s v="NA"/>
    <s v="Kajal Kumari"/>
    <s v="NA"/>
  </r>
  <r>
    <s v="08FHGPP4088D1Z1"/>
    <s v="OD335608734099642100"/>
    <s v="335608734099642100"/>
    <s v="&quot;&quot;&quot;Who Will Cry When You Die? Paperback, Robin Sharma Paperback, Robin Sharma&quot;&quot;&quot;"/>
    <s v="&quot;&quot;&quot;RBKHB9HJMHVREPGP&quot;&quot;&quot;"/>
    <s v="&quot;&quot;&quot;SKU:WHO-WILL-CRY01&quot;&quot;&quot;"/>
    <x v="26"/>
    <s v="49011010"/>
    <s v="Sale"/>
    <x v="0"/>
    <s v="Postpaid"/>
    <s v="NON_FBF"/>
    <s v="2025-09-30 00:00:00"/>
    <x v="3"/>
    <s v="2025-09-30 00:00:00"/>
    <s v="1.0"/>
    <s v="IN-RJ"/>
    <s v="NA"/>
    <s v="116.0"/>
    <s v="-14.0"/>
    <s v="-9.94"/>
    <s v="-4.06"/>
    <s v="102.0"/>
    <s v="0.0"/>
    <s v="102.0"/>
    <s v="0"/>
    <s v="102.0"/>
    <s v="0.0"/>
    <s v="0.0"/>
    <s v="0.0"/>
    <s v="0.0"/>
    <s v="0.0"/>
    <s v="0.0"/>
    <s v="0.0"/>
    <s v="0.0"/>
    <s v="0.0"/>
    <s v="0.0"/>
    <s v="0.0"/>
    <s v="0.0"/>
    <s v="0.0"/>
    <s v="0.0"/>
    <s v="0.0"/>
    <s v="0.0"/>
    <s v="0.0"/>
    <s v="0.0"/>
    <s v="0.0"/>
    <s v="FAMNXL2600000090"/>
    <s v="2025-10-01 00:00:00.0"/>
    <s v="102.0"/>
    <s v="800002"/>
    <s v="Bihar"/>
    <s v="800002"/>
    <s v="800002 - Patna"/>
    <x v="56"/>
    <x v="20"/>
    <s v="NA"/>
    <s v="false"/>
    <s v="0.1"/>
    <s v="0.102"/>
    <s v="NA"/>
    <s v="NA"/>
    <s v="NA"/>
    <s v="Rajeev Kumar"/>
    <s v="NA"/>
  </r>
  <r>
    <s v="08FHGPP4088D1Z1"/>
    <s v="OD435652266104442100"/>
    <s v="435652266104442100"/>
    <s v="&quot;&quot;&quot;Think And Grow Rich By Napoleon Hill-New Revised &amp; Updated Book Paperback, Napoleon Hill&quot;&quot;&quot;"/>
    <s v="&quot;&quot;&quot;RBKGHGEWFEXWJT3D&quot;&quot;&quot;"/>
    <s v="&quot;&quot;&quot;SKU:THANGRORICH&quot;&quot;&quot;"/>
    <x v="13"/>
    <s v="49011010"/>
    <s v="Sale"/>
    <x v="0"/>
    <s v="Postpaid"/>
    <s v="NON_FBF"/>
    <s v="2025-10-05 00:00:00"/>
    <x v="4"/>
    <s v="2025-10-05 00:00:00"/>
    <s v="1.0"/>
    <s v="IN-RJ"/>
    <s v="NA"/>
    <s v="168.0"/>
    <s v="-17.0"/>
    <s v="-12.07"/>
    <s v="-4.93"/>
    <s v="151.0"/>
    <s v="0.0"/>
    <s v="151.0"/>
    <s v="0"/>
    <s v="151.0"/>
    <s v="0.0"/>
    <s v="0.0"/>
    <s v="0.0"/>
    <s v="0.0"/>
    <s v="0.0"/>
    <s v="0.0"/>
    <s v="0.0"/>
    <s v="0.0"/>
    <s v="0.0"/>
    <s v="0.0"/>
    <s v="0.0"/>
    <s v="0.0"/>
    <s v="0.0"/>
    <s v="0.0"/>
    <s v="0.0"/>
    <s v="0.0"/>
    <s v="0.0"/>
    <s v="0.0"/>
    <s v="0.0"/>
    <s v="FAMNXL2600000100"/>
    <s v="2025-10-05 00:00:00.0"/>
    <s v="151.0"/>
    <s v="722136"/>
    <s v="West Bengal"/>
    <s v="722136"/>
    <s v="722136 - Howrah"/>
    <x v="44"/>
    <x v="9"/>
    <s v="NA"/>
    <s v="false"/>
    <s v="0.1"/>
    <s v="0.151"/>
    <s v="NA"/>
    <s v="NA"/>
    <s v="NA"/>
    <s v="Santanu Mahadani"/>
    <s v="NA"/>
  </r>
  <r>
    <s v="08FHGPP4088D1Z1"/>
    <s v="OD435640606046495100"/>
    <s v="435640606046495101"/>
    <s v="&quot;&quot;&quot;The Courage To Be Disliked Paperback, ICHIRO KISHIMI&quot;&quot;&quot;"/>
    <s v="&quot;&quot;&quot;RBKHD977G9ETW5N8&quot;&quot;&quot;"/>
    <s v="&quot;&quot;&quot;SKU:THE-COURAGE01&quot;&quot;&quot;"/>
    <x v="40"/>
    <s v="49011010"/>
    <s v="Return"/>
    <x v="2"/>
    <s v="Postpaid"/>
    <s v="NON_FBF"/>
    <s v="2025-10-04 00:00:00"/>
    <x v="4"/>
    <s v="2025-10-04 00:00:00"/>
    <s v="1.0"/>
    <s v="IN-RJ"/>
    <s v="NA"/>
    <s v="120.0"/>
    <s v="-10.0"/>
    <s v="0.0"/>
    <s v="-10.0"/>
    <s v="110.0"/>
    <s v="0.0"/>
    <s v="110.0"/>
    <s v="0"/>
    <s v="-110.0"/>
    <s v="0.0"/>
    <s v="0.0"/>
    <s v="0.0"/>
    <s v="0.0"/>
    <s v="0.0"/>
    <s v="0.0"/>
    <s v="0.0"/>
    <s v="0.0"/>
    <s v="0.0"/>
    <s v="0.0"/>
    <s v="0.0"/>
    <s v="0.0"/>
    <s v="0.0"/>
    <s v="0.0"/>
    <s v="0.0"/>
    <s v="0.0"/>
    <s v="0.0"/>
    <s v="0.0"/>
    <s v="0.0"/>
    <s v="RAKC4V2600000022"/>
    <s v="2025-10-12 00:00:00.0"/>
    <s v="-110.0"/>
    <s v="560057"/>
    <s v="Karnataka"/>
    <s v="560057"/>
    <s v="560057 - Bengaluru"/>
    <x v="24"/>
    <x v="0"/>
    <s v="NA"/>
    <s v="false"/>
    <s v="0.1"/>
    <s v="0.11"/>
    <s v="NA"/>
    <s v="NA"/>
    <s v="NA"/>
    <s v="Sri Ram Kulkarni"/>
    <s v="NA"/>
  </r>
  <r>
    <s v="08FHGPP4088D1Z1"/>
    <s v="OD435696690979673100"/>
    <s v="435696690979673102"/>
    <s v="&quot;&quot;&quot;The Magic Of Thinking Big + Ikigai Journey 2 Book Combo Paperback, JMD BOOKS&quot;&quot;&quot;"/>
    <s v="&quot;&quot;&quot;9780315535169&quot;&quot;&quot;"/>
    <s v="&quot;&quot;&quot;SKU:THE-MAGIC-IKIGAI&quot;&quot;&quot;"/>
    <x v="36"/>
    <s v="49011010"/>
    <s v="Sale"/>
    <x v="0"/>
    <s v="Prepaid"/>
    <s v="NON_FBF"/>
    <s v="2025-10-10 00:00:00"/>
    <x v="4"/>
    <s v="2025-10-10 00:00:00"/>
    <s v="1.0"/>
    <s v="IN-RJ"/>
    <s v="NA"/>
    <s v="197.0"/>
    <s v="-27.0"/>
    <s v="-7.2"/>
    <s v="-19.8"/>
    <s v="170.0"/>
    <s v="0.0"/>
    <s v="170.0"/>
    <s v="0"/>
    <s v="170.0"/>
    <s v="0.0"/>
    <s v="0.0"/>
    <s v="0.0"/>
    <s v="0.0"/>
    <s v="0.0"/>
    <s v="0.0"/>
    <s v="0.0"/>
    <s v="0.0"/>
    <s v="0.0"/>
    <s v="0.0"/>
    <s v="0.0"/>
    <s v="0.0"/>
    <s v="0.0"/>
    <s v="0.0"/>
    <s v="0.0"/>
    <s v="0.0"/>
    <s v="0.0"/>
    <s v="0.0"/>
    <s v="0.0"/>
    <s v="FAMNXL2600000103"/>
    <s v="2025-10-10 00:00:00.0"/>
    <s v="170.0"/>
    <s v="600078"/>
    <s v="Tamil Nadu"/>
    <s v="600078"/>
    <s v="600078 – Chennai"/>
    <x v="4"/>
    <x v="4"/>
    <s v="NA"/>
    <s v="false"/>
    <s v="0.1"/>
    <s v="0.17"/>
    <s v="NA"/>
    <s v="NA"/>
    <s v="NA"/>
    <s v="Balaji Venkateswaran"/>
    <s v="NA"/>
  </r>
  <r>
    <s v="08FHGPP4088D1Z1"/>
    <s v="OD335726320594058100"/>
    <s v="335726320594058100"/>
    <s v="&quot;&quot;&quot;The Psychology Of Money Paperback, Morgan Housel&quot;&quot;&quot;"/>
    <s v="&quot;&quot;&quot;9783701006007&quot;&quot;&quot;"/>
    <s v="&quot;&quot;&quot;SKU:PSYCH02&quot;&quot;&quot;"/>
    <x v="44"/>
    <s v="49011010"/>
    <s v="Sale"/>
    <x v="0"/>
    <s v="Postpaid"/>
    <s v="NON_FBF"/>
    <s v="2025-10-14 00:00:00"/>
    <x v="4"/>
    <s v="2025-10-14 00:00:00"/>
    <s v="1.0"/>
    <s v="IN-RJ"/>
    <s v="NA"/>
    <s v="121.0"/>
    <s v="-6.0"/>
    <s v="-6.0"/>
    <s v="0.0"/>
    <s v="115.0"/>
    <s v="0.0"/>
    <s v="115.0"/>
    <s v="0"/>
    <s v="115.0"/>
    <s v="0.0"/>
    <s v="0.0"/>
    <s v="0.0"/>
    <s v="0.0"/>
    <s v="0.0"/>
    <s v="0.0"/>
    <s v="0.0"/>
    <s v="0.0"/>
    <s v="0.0"/>
    <s v="0.0"/>
    <s v="0.0"/>
    <s v="0.0"/>
    <s v="0.0"/>
    <s v="0.0"/>
    <s v="0.0"/>
    <s v="0.0"/>
    <s v="0.0"/>
    <s v="0.0"/>
    <s v="0.0"/>
    <s v="FAMNXL2600000105"/>
    <s v="2025-10-16 00:00:00.0"/>
    <s v="115.0"/>
    <s v="574227"/>
    <s v="Karnataka"/>
    <s v="574227"/>
    <s v="574227 – Mangaluru"/>
    <x v="64"/>
    <x v="0"/>
    <s v="NA"/>
    <s v="false"/>
    <s v="0.1"/>
    <s v="0.115"/>
    <s v="NA"/>
    <s v="NA"/>
    <s v="NA"/>
    <s v="Akash"/>
    <s v="NA"/>
  </r>
  <r>
    <s v="08FHGPP4088D1Z1"/>
    <s v="OD435735804205575100"/>
    <s v="435735804205575100"/>
    <s v="&quot;&quot;&quot;Who Will Cry When you Die? Paperback, Robin Sharma&quot;&quot;&quot;"/>
    <s v="&quot;&quot;&quot;9785092668420&quot;&quot;&quot;"/>
    <s v="&quot;&quot;&quot;SKU:WHO-WILL-CRY&quot;&quot;&quot;"/>
    <x v="45"/>
    <s v="49011010"/>
    <s v="Sale"/>
    <x v="0"/>
    <s v="Prepaid"/>
    <s v="NON_FBF"/>
    <s v="2025-10-15 00:00:00"/>
    <x v="4"/>
    <s v="2025-10-15 00:00:00"/>
    <s v="1.0"/>
    <s v="IN-RJ"/>
    <s v="NA"/>
    <s v="127.0"/>
    <s v="-6.0"/>
    <s v="-6.0"/>
    <s v="0.0"/>
    <s v="121.0"/>
    <s v="0.0"/>
    <s v="121.0"/>
    <s v="0"/>
    <s v="121.0"/>
    <s v="0.0"/>
    <s v="0.0"/>
    <s v="0.0"/>
    <s v="0.0"/>
    <s v="0.0"/>
    <s v="0.0"/>
    <s v="0.0"/>
    <s v="0.0"/>
    <s v="0.0"/>
    <s v="0.0"/>
    <s v="0.0"/>
    <s v="0.0"/>
    <s v="0.0"/>
    <s v="0.0"/>
    <s v="0.0"/>
    <s v="0.0"/>
    <s v="0.0"/>
    <s v="0.0"/>
    <s v="0.0"/>
    <s v="FAMNXL2600000106"/>
    <s v="2025-10-18 00:00:00.0"/>
    <s v="121.0"/>
    <s v="795142"/>
    <s v="Manipur"/>
    <s v="795142"/>
    <s v="795142 – Shillong"/>
    <x v="31"/>
    <x v="25"/>
    <s v="155.0"/>
    <s v="false"/>
    <s v="0.1"/>
    <s v="0.121"/>
    <s v="NA"/>
    <s v="NA"/>
    <s v="NA"/>
    <s v="Ngayaising P"/>
    <s v="NA"/>
  </r>
  <r>
    <s v="08FHGPP4088D1Z1"/>
    <s v="OD335726320594058100"/>
    <s v="335726320594058100"/>
    <s v="&quot;&quot;&quot;The Psychology Of Money Paperback, Morgan Housel&quot;&quot;&quot;"/>
    <s v="&quot;&quot;&quot;9783701006007&quot;&quot;&quot;"/>
    <s v="&quot;&quot;&quot;SKU:PSYCH02&quot;&quot;&quot;"/>
    <x v="44"/>
    <s v="49011010"/>
    <s v="Return"/>
    <x v="1"/>
    <s v="Postpaid"/>
    <s v="NON_FBF"/>
    <s v="2025-10-14 00:00:00"/>
    <x v="4"/>
    <s v="2025-10-14 00:00:00"/>
    <s v="1.0"/>
    <s v="IN-RJ"/>
    <s v="NA"/>
    <s v="121.0"/>
    <s v="-6.0"/>
    <s v="-6.0"/>
    <s v="0.0"/>
    <s v="115.0"/>
    <s v="0.0"/>
    <s v="115.0"/>
    <s v="0"/>
    <s v="-115.0"/>
    <s v="0.0"/>
    <s v="0.0"/>
    <s v="0.0"/>
    <s v="0.0"/>
    <s v="0.0"/>
    <s v="0.0"/>
    <s v="0.0"/>
    <s v="0.0"/>
    <s v="0.0"/>
    <s v="0.0"/>
    <s v="0.0"/>
    <s v="0.0"/>
    <s v="0.0"/>
    <s v="0.0"/>
    <s v="0.0"/>
    <s v="0.0"/>
    <s v="0.0"/>
    <s v="0.0"/>
    <s v="0.0"/>
    <s v="RAKC4V2600000023"/>
    <s v="2025-10-19 00:00:00.0"/>
    <s v="-115.0"/>
    <s v="574227"/>
    <s v="Karnataka"/>
    <s v="574227"/>
    <s v="574227 - Mangaluru"/>
    <x v="64"/>
    <x v="0"/>
    <s v="NA"/>
    <s v="false"/>
    <s v="0.1"/>
    <s v="0.115"/>
    <s v="NA"/>
    <s v="NA"/>
    <s v="NA"/>
    <s v="Akash"/>
    <s v="NA"/>
  </r>
  <r>
    <s v="08FHGPP4088D1Z1"/>
    <s v="OD335640871819483100"/>
    <s v="335640871819483102"/>
    <s v="&quot;&quot;&quot;The Courage To Be Disliked Paperback, ICHIRO KISHIMI&quot;&quot;&quot;"/>
    <s v="&quot;&quot;&quot;RBKHD977G9ETW5N8&quot;&quot;&quot;"/>
    <s v="&quot;&quot;&quot;SKU:THE-COURAGE01&quot;&quot;&quot;"/>
    <x v="40"/>
    <s v="49011010"/>
    <s v="Return"/>
    <x v="2"/>
    <s v="Prepaid"/>
    <s v="NON_FBF"/>
    <s v="2025-10-04 00:00:00"/>
    <x v="4"/>
    <s v="2025-10-04 00:00:00"/>
    <s v="1.0"/>
    <s v="IN-RJ"/>
    <s v="NA"/>
    <s v="120.0"/>
    <s v="0.0"/>
    <s v="0.0"/>
    <s v="0.0"/>
    <s v="120.0"/>
    <s v="0.0"/>
    <s v="120.0"/>
    <s v="0"/>
    <s v="-120.0"/>
    <s v="0.0"/>
    <s v="0.0"/>
    <s v="0.0"/>
    <s v="0.0"/>
    <s v="0.0"/>
    <s v="0.0"/>
    <s v="0.0"/>
    <s v="0.0"/>
    <s v="0.0"/>
    <s v="0.0"/>
    <s v="0.0"/>
    <s v="0.0"/>
    <s v="0.0"/>
    <s v="0.0"/>
    <s v="0.0"/>
    <s v="0.0"/>
    <s v="0.0"/>
    <s v="0.0"/>
    <s v="0.0"/>
    <s v="RAKC4V2600000024"/>
    <s v="2025-10-21 00:00:00.0"/>
    <s v="-120.0"/>
    <s v="122004"/>
    <s v="Haryana"/>
    <s v="122004"/>
    <s v="122004 - Ambala"/>
    <x v="49"/>
    <x v="22"/>
    <s v="NA"/>
    <s v="false"/>
    <s v="0.1"/>
    <s v="0.12"/>
    <s v="NA"/>
    <s v="NA"/>
    <s v="NA"/>
    <s v="Dharmendra"/>
    <s v="NA"/>
  </r>
  <r>
    <s v="08FHGPP4088D1Z1"/>
    <s v="OD435781137741494100"/>
    <s v="435781137741494100"/>
    <s v="&quot;&quot;&quot;The Magic Of Thinking Big Paperback, THEMAGICTHINKBIG-1&quot;&quot;&quot;"/>
    <s v="&quot;&quot;&quot;RBKGTKP5QTSGHKWC&quot;&quot;&quot;"/>
    <s v="&quot;&quot;&quot;SKU:THEMAGICTHINKBIG-1&quot;&quot;&quot;"/>
    <x v="7"/>
    <s v="49011010"/>
    <s v="Sale"/>
    <x v="0"/>
    <s v="Prepaid"/>
    <s v="NON_FBF"/>
    <s v="2025-10-20 00:00:00"/>
    <x v="4"/>
    <s v="2025-10-20 00:00:00"/>
    <s v="1.0"/>
    <s v="IN-RJ"/>
    <s v="NA"/>
    <s v="199.0"/>
    <s v="-19.0"/>
    <s v="-13.49"/>
    <s v="-5.51"/>
    <s v="180.0"/>
    <s v="0.0"/>
    <s v="180.0"/>
    <s v="0"/>
    <s v="180.0"/>
    <s v="0.0"/>
    <s v="0.0"/>
    <s v="0.0"/>
    <s v="0.0"/>
    <s v="0.0"/>
    <s v="0.0"/>
    <s v="0.0"/>
    <s v="0.0"/>
    <s v="0.0"/>
    <s v="0.0"/>
    <s v="0.0"/>
    <s v="0.0"/>
    <s v="0.0"/>
    <s v="0.0"/>
    <s v="0.0"/>
    <s v="0.0"/>
    <s v="0.0"/>
    <s v="0.0"/>
    <s v="0.0"/>
    <s v="FAMNXL2600000108"/>
    <s v="2025-10-21 00:00:00.0"/>
    <s v="180.0"/>
    <s v="500032"/>
    <s v="Telangana"/>
    <s v="500032"/>
    <s v="500032 – Hyderabad"/>
    <x v="34"/>
    <x v="14"/>
    <s v="299.0"/>
    <s v="false"/>
    <s v="0.1"/>
    <s v="0.18"/>
    <s v="NA"/>
    <s v="NA"/>
    <s v="NA"/>
    <s v="P RAJESH KANNAN"/>
    <s v="NA"/>
  </r>
  <r>
    <s v="08FHGPP4088D1Z1"/>
    <s v="OD335782190943309100"/>
    <s v="335782190943309100"/>
    <s v="&quot;&quot;&quot;Energize Your Mind Paperback, Gaur Gopal das&quot;&quot;&quot;"/>
    <s v="&quot;&quot;&quot;RBKGUDBYA6ZQZU69&quot;&quot;&quot;"/>
    <s v="&quot;&quot;&quot;SKU:ENERGIZE-YOUR-MIND03&quot;&quot;&quot;"/>
    <x v="46"/>
    <s v="49011010"/>
    <s v="Sale"/>
    <x v="0"/>
    <s v="Postpaid"/>
    <s v="NON_FBF"/>
    <s v="2025-10-20 00:00:00"/>
    <x v="4"/>
    <s v="2025-10-20 00:00:00"/>
    <s v="1.0"/>
    <s v="IN-RJ"/>
    <s v="NA"/>
    <s v="120.0"/>
    <s v="-6.0"/>
    <s v="-6.0"/>
    <s v="0.0"/>
    <s v="114.0"/>
    <s v="0.0"/>
    <s v="114.0"/>
    <s v="0"/>
    <s v="114.0"/>
    <s v="0.0"/>
    <s v="0.0"/>
    <s v="0.0"/>
    <s v="0.0"/>
    <s v="0.0"/>
    <s v="0.0"/>
    <s v="0.0"/>
    <s v="0.0"/>
    <s v="0.0"/>
    <s v="0.0"/>
    <s v="0.0"/>
    <s v="0.0"/>
    <s v="0.0"/>
    <s v="0.0"/>
    <s v="0.0"/>
    <s v="0.0"/>
    <s v="0.0"/>
    <s v="0.0"/>
    <s v="0.0"/>
    <s v="FAMNXL2600000107"/>
    <s v="2025-10-20 00:00:00.0"/>
    <s v="114.0"/>
    <s v="604410"/>
    <s v="Tamil Nadu"/>
    <s v="604410"/>
    <s v="604410 – Vellore"/>
    <x v="65"/>
    <x v="4"/>
    <s v="NA"/>
    <s v="false"/>
    <s v="0.1"/>
    <s v="0.114"/>
    <s v="NA"/>
    <s v="NA"/>
    <s v="NA"/>
    <s v="N Mathivanan"/>
    <s v="NA"/>
  </r>
  <r>
    <s v="08FHGPP4088D1Z1"/>
    <s v="OD335892811768897100"/>
    <s v="335892811768897100"/>
    <s v="&quot;&quot;&quot;The Psychology of Money English, Paperback, Housel Morgan&quot;&quot;&quot;"/>
    <s v="&quot;&quot;&quot;9780857199096&quot;&quot;&quot;"/>
    <s v="&quot;&quot;&quot;SKU:PSYCH-01&quot;&quot;&quot;"/>
    <x v="47"/>
    <s v="49011010"/>
    <s v="Sale"/>
    <x v="0"/>
    <s v="Prepaid"/>
    <s v="NON_FBF"/>
    <s v="2025-11-02 00:00:00"/>
    <x v="5"/>
    <s v="2025-11-02 00:00:00"/>
    <s v="1.0"/>
    <s v="IN-RJ"/>
    <s v="NA"/>
    <s v="74.0"/>
    <s v="-10.0"/>
    <s v="0.0"/>
    <s v="-10.0"/>
    <s v="64.0"/>
    <s v="0.0"/>
    <s v="64.0"/>
    <s v="0"/>
    <s v="64.0"/>
    <s v="0.0"/>
    <s v="0.0"/>
    <s v="0.0"/>
    <s v="0.0"/>
    <s v="0.0"/>
    <s v="0.0"/>
    <s v="0.0"/>
    <s v="0.0"/>
    <s v="0.0"/>
    <s v="0.0"/>
    <s v="0.0"/>
    <s v="0.0"/>
    <s v="0.0"/>
    <s v="0.0"/>
    <s v="0.0"/>
    <s v="0.0"/>
    <s v="0.0"/>
    <s v="0.0"/>
    <s v="0.0"/>
    <s v="FAMNXL2600000113"/>
    <s v="2025-11-04 00:00:00.0"/>
    <s v="64.0"/>
    <s v="431513"/>
    <s v="Maharashtra"/>
    <s v="431513"/>
    <s v="431513 – Kolhapur"/>
    <x v="51"/>
    <x v="3"/>
    <s v="NA"/>
    <s v="false"/>
    <s v="0.1"/>
    <s v="0.064"/>
    <s v="NA"/>
    <s v="NA"/>
    <s v="NA"/>
    <s v="Sujit Suresh Vidolkar"/>
    <s v="NA"/>
  </r>
  <r>
    <s v="08FHGPP4088D1Z1"/>
    <s v="OD435895079013667100"/>
    <s v="435895079013667100"/>
    <s v="&quot;&quot;&quot;The Psychology of Money English, Paperback, Housel Morgan&quot;&quot;&quot;"/>
    <s v="&quot;&quot;&quot;9780857199096&quot;&quot;&quot;"/>
    <s v="&quot;&quot;&quot;SKU:PSYCH-01&quot;&quot;&quot;"/>
    <x v="47"/>
    <s v="49011010"/>
    <s v="Sale"/>
    <x v="0"/>
    <s v="Postpaid"/>
    <s v="NON_FBF"/>
    <s v="2025-11-02 00:00:00"/>
    <x v="5"/>
    <s v="2025-11-02 00:00:00"/>
    <s v="1.0"/>
    <s v="IN-RJ"/>
    <s v="NA"/>
    <s v="74.0"/>
    <s v="-10.0"/>
    <s v="0.0"/>
    <s v="-10.0"/>
    <s v="64.0"/>
    <s v="0.0"/>
    <s v="64.0"/>
    <s v="0"/>
    <s v="64.0"/>
    <s v="0.0"/>
    <s v="0.0"/>
    <s v="0.0"/>
    <s v="0.0"/>
    <s v="0.0"/>
    <s v="0.0"/>
    <s v="0.0"/>
    <s v="0.0"/>
    <s v="0.0"/>
    <s v="0.0"/>
    <s v="0.0"/>
    <s v="0.0"/>
    <s v="0.0"/>
    <s v="0.0"/>
    <s v="0.0"/>
    <s v="0.0"/>
    <s v="0.0"/>
    <s v="0.0"/>
    <s v="0.0"/>
    <s v="FAMNXL2600000114"/>
    <s v="2025-11-04 00:00:00.0"/>
    <s v="64.0"/>
    <s v="444203"/>
    <s v="Maharashtra"/>
    <s v="444203"/>
    <s v="444203 – Akola"/>
    <x v="63"/>
    <x v="3"/>
    <s v="NA"/>
    <s v="false"/>
    <s v="0.1"/>
    <s v="0.064"/>
    <s v="NA"/>
    <s v="NA"/>
    <s v="NA"/>
    <s v="Shubham Burungale"/>
    <s v="NA"/>
  </r>
  <r>
    <s v="08FHGPP4088D1Z1"/>
    <s v="OD335900866334298100"/>
    <s v="335900866334298100"/>
    <s v="&quot;&quot;&quot;Energize Your Mind: Learn The Art Of Mastering Your Thoughts, Feelings And Emotion Paperback, Das Gaur Gopal&quot;&quot;&quot;"/>
    <s v="&quot;&quot;&quot;RBKGW9X7RKHZBQMY&quot;&quot;&quot;"/>
    <s v="&quot;&quot;&quot;SKU:ENERGIZE-YOUR-MIND01&quot;&quot;&quot;"/>
    <x v="48"/>
    <s v="49011010"/>
    <s v="Sale"/>
    <x v="0"/>
    <s v="Prepaid"/>
    <s v="NON_FBF"/>
    <s v="2025-11-03 00:00:00"/>
    <x v="5"/>
    <s v="2025-11-03 00:00:00"/>
    <s v="1.0"/>
    <s v="IN-RJ"/>
    <s v="NA"/>
    <s v="120.0"/>
    <s v="-10.0"/>
    <s v="0.0"/>
    <s v="-10.0"/>
    <s v="110.0"/>
    <s v="0.0"/>
    <s v="110.0"/>
    <s v="0"/>
    <s v="110.0"/>
    <s v="0.0"/>
    <s v="0.0"/>
    <s v="0.0"/>
    <s v="0.0"/>
    <s v="0.0"/>
    <s v="0.0"/>
    <s v="0.0"/>
    <s v="0.0"/>
    <s v="0.0"/>
    <s v="0.0"/>
    <s v="0.0"/>
    <s v="0.0"/>
    <s v="0.0"/>
    <s v="0.0"/>
    <s v="0.0"/>
    <s v="0.0"/>
    <s v="0.0"/>
    <s v="0.0"/>
    <s v="0.0"/>
    <s v="FAMNXL2600000115"/>
    <s v="2025-11-04 00:00:00.0"/>
    <s v="110.0"/>
    <s v="143001"/>
    <s v="Punjab"/>
    <s v="143001"/>
    <s v="143001 – Jalandhar"/>
    <x v="35"/>
    <x v="17"/>
    <s v="NA"/>
    <s v="false"/>
    <s v="0.1"/>
    <s v="0.11"/>
    <s v="NA"/>
    <s v="NA"/>
    <s v="NA"/>
    <s v="Nitish"/>
    <s v="NA"/>
  </r>
  <r>
    <s v="08FHGPP4088D1Z1"/>
    <s v="OD335885906102752100"/>
    <s v="335885906102752100"/>
    <s v="&quot;&quot;&quot;Energize Your Mind: Learn The Art Of Mastering Your Thoughts, Feelings And Emotion Paperback, Das Gaur Gopal&quot;&quot;&quot;"/>
    <s v="&quot;&quot;&quot;RBKGW9X7RKHZBQMY&quot;&quot;&quot;"/>
    <s v="&quot;&quot;&quot;SKU:ENERGIZE-YOUR-MIND01&quot;&quot;&quot;"/>
    <x v="48"/>
    <s v="49011010"/>
    <s v="Return"/>
    <x v="2"/>
    <s v="Prepaid"/>
    <s v="NON_FBF"/>
    <s v="2025-11-01 00:00:00"/>
    <x v="5"/>
    <s v="2025-11-01 00:00:00"/>
    <s v="1.0"/>
    <s v="IN-RJ"/>
    <s v="NA"/>
    <s v="120.0"/>
    <s v="-10.0"/>
    <s v="0.0"/>
    <s v="-10.0"/>
    <s v="110.0"/>
    <s v="0.0"/>
    <s v="110.0"/>
    <s v="0"/>
    <s v="-110.0"/>
    <s v="0.0"/>
    <s v="0.0"/>
    <s v="0.0"/>
    <s v="0.0"/>
    <s v="0.0"/>
    <s v="0.0"/>
    <s v="0.0"/>
    <s v="0.0"/>
    <s v="0.0"/>
    <s v="0.0"/>
    <s v="0.0"/>
    <s v="0.0"/>
    <s v="0.0"/>
    <s v="0.0"/>
    <s v="0.0"/>
    <s v="0.0"/>
    <s v="0.0"/>
    <s v="0.0"/>
    <s v="0.0"/>
    <s v="RAKC4V2600000026"/>
    <s v="2025-11-04 00:00:00.0"/>
    <s v="-110.0"/>
    <s v="631551"/>
    <s v="Tamil Nadu"/>
    <s v="631551"/>
    <s v="631551 – Tiruchirappalli"/>
    <x v="66"/>
    <x v="4"/>
    <s v="NA"/>
    <s v="false"/>
    <s v="0.1"/>
    <s v="0.11"/>
    <s v="NA"/>
    <s v="NA"/>
    <s v="NA"/>
    <s v="G.RAJKUMAR"/>
    <s v="NA"/>
  </r>
  <r>
    <s v="08FHGPP4088D1Z1"/>
    <s v="OD336086795404821100"/>
    <s v="336086795404821100"/>
    <s v="&quot;&quot;&quot;Energize Your Mind: Learn The Art Of Mastering Your Thoughts, Feelings And Emotion Paperback, Das Gaur Gopal&quot;&quot;&quot;"/>
    <s v="&quot;&quot;&quot;RBKGW9X7RKHZBQMY&quot;&quot;&quot;"/>
    <s v="&quot;&quot;&quot;SKU:ENERGIZE-YOUR-MIND01&quot;&quot;&quot;"/>
    <x v="48"/>
    <s v="49011010"/>
    <s v="Sale"/>
    <x v="0"/>
    <s v="Prepaid"/>
    <s v="NON_FBF"/>
    <s v="2025-11-25 00:00:00"/>
    <x v="5"/>
    <s v="2025-11-25 00:00:00"/>
    <s v="1.0"/>
    <s v="IN-RJ"/>
    <s v="NA"/>
    <s v="120.0"/>
    <s v="-6.0"/>
    <s v="-6.0"/>
    <s v="0.0"/>
    <s v="114.0"/>
    <s v="0.0"/>
    <s v="114.0"/>
    <s v="0"/>
    <s v="114.0"/>
    <s v="0.0"/>
    <s v="0.0"/>
    <s v="0.0"/>
    <s v="0.0"/>
    <s v="0.0"/>
    <s v="0.0"/>
    <s v="0.0"/>
    <s v="0.0"/>
    <s v="0.0"/>
    <s v="0.0"/>
    <s v="0.0"/>
    <s v="0.0"/>
    <s v="0.0"/>
    <s v="0.0"/>
    <s v="0.0"/>
    <s v="0.0"/>
    <s v="0.0"/>
    <s v="0.0"/>
    <s v="0.0"/>
    <s v="FAMNXL2600000120"/>
    <s v="2025-11-25 00:00:00.0"/>
    <s v="114.0"/>
    <s v="560048"/>
    <s v="Karnataka"/>
    <s v="560048"/>
    <s v="560048 – Bengaluru"/>
    <x v="24"/>
    <x v="0"/>
    <s v="NA"/>
    <s v="false"/>
    <s v="0.1"/>
    <s v="0.114"/>
    <s v="NA"/>
    <s v="NA"/>
    <s v="NA"/>
    <s v="Gagan Chakma"/>
    <s v="NA"/>
  </r>
  <r>
    <s v="08FHGPP4088D1Z1"/>
    <s v="OD335961100628168100"/>
    <s v="335961100628168100"/>
    <s v="&quot;&quot;&quot;Energize Your Mind Paperback, Gaur Gopal Das&quot;&quot;&quot;"/>
    <s v="&quot;&quot;&quot;RBKGWRDCMRGQU6UZ&quot;&quot;&quot;"/>
    <s v="&quot;&quot;&quot;SKU:ENERGIZE-YOUR-MIND02&quot;&quot;&quot;"/>
    <x v="49"/>
    <s v="49011010"/>
    <s v="Sale"/>
    <x v="0"/>
    <s v="Prepaid"/>
    <s v="NON_FBF"/>
    <s v="2025-11-10 00:00:00"/>
    <x v="5"/>
    <s v="2025-11-10 00:00:00"/>
    <s v="1.0"/>
    <s v="IN-RJ"/>
    <s v="NA"/>
    <s v="120.0"/>
    <s v="-6.0"/>
    <s v="-6.0"/>
    <s v="0.0"/>
    <s v="114.0"/>
    <s v="0.0"/>
    <s v="114.0"/>
    <s v="0"/>
    <s v="114.0"/>
    <s v="0.0"/>
    <s v="0.0"/>
    <s v="0.0"/>
    <s v="0.0"/>
    <s v="0.0"/>
    <s v="0.0"/>
    <s v="0.0"/>
    <s v="0.0"/>
    <s v="0.0"/>
    <s v="0.0"/>
    <s v="0.0"/>
    <s v="0.0"/>
    <s v="0.0"/>
    <s v="0.0"/>
    <s v="0.0"/>
    <s v="0.0"/>
    <s v="0.0"/>
    <s v="0.0"/>
    <s v="0.0"/>
    <s v="FAMNXL2600000116"/>
    <s v="2025-11-11 00:00:00.0"/>
    <s v="114.0"/>
    <s v="445001"/>
    <s v="Maharashtra"/>
    <s v="445001"/>
    <s v="445001 - Yavatmal"/>
    <x v="67"/>
    <x v="3"/>
    <s v="NA"/>
    <s v="false"/>
    <s v="0.1"/>
    <s v="0.114"/>
    <s v="NA"/>
    <s v="NA"/>
    <s v="NA"/>
    <s v="Ritika Rathod"/>
    <s v="NA"/>
  </r>
  <r>
    <s v="08FHGPP4088D1Z1"/>
    <s v="OD335891059461326100"/>
    <s v="335891059461326100"/>
    <s v="&quot;&quot;&quot;Who Will Cry When You Die? Paperback, Robin Sharma Paperback, Robin Sharma&quot;&quot;&quot;"/>
    <s v="&quot;&quot;&quot;RBKHB9HJMHVREPGP&quot;&quot;&quot;"/>
    <s v="&quot;&quot;&quot;SKU:WHO-WILL-CRY01&quot;&quot;&quot;"/>
    <x v="26"/>
    <s v="49011010"/>
    <s v="Sale"/>
    <x v="0"/>
    <s v="Postpaid"/>
    <s v="NON_FBF"/>
    <s v="2025-11-02 00:00:00"/>
    <x v="5"/>
    <s v="2025-11-02 00:00:00"/>
    <s v="1.0"/>
    <s v="IN-RJ"/>
    <s v="NA"/>
    <s v="87.0"/>
    <s v="-8.0"/>
    <s v="0.0"/>
    <s v="-8.0"/>
    <s v="79.0"/>
    <s v="0.0"/>
    <s v="79.0"/>
    <s v="0"/>
    <s v="79.0"/>
    <s v="0.0"/>
    <s v="0.0"/>
    <s v="0.0"/>
    <s v="0.0"/>
    <s v="0.0"/>
    <s v="0.0"/>
    <s v="0.0"/>
    <s v="0.0"/>
    <s v="0.0"/>
    <s v="0.0"/>
    <s v="0.0"/>
    <s v="0.0"/>
    <s v="0.0"/>
    <s v="0.0"/>
    <s v="0.0"/>
    <s v="0.0"/>
    <s v="0.0"/>
    <s v="0.0"/>
    <s v="0.0"/>
    <s v="FAMNXL2600000112"/>
    <s v="2025-11-02 00:00:00.0"/>
    <s v="79.0"/>
    <s v="396115"/>
    <s v="Gujarat"/>
    <s v="396115"/>
    <s v="396115 – Valsad"/>
    <x v="68"/>
    <x v="11"/>
    <s v="NA"/>
    <s v="false"/>
    <s v="0.1"/>
    <s v="0.079"/>
    <s v="NA"/>
    <s v="NA"/>
    <s v="NA"/>
    <s v="Vaishali Prashant Tandel"/>
    <s v="NA"/>
  </r>
  <r>
    <s v="08FHGPP4088D1Z1"/>
    <s v="OD435890837919728100"/>
    <s v="435890837919728100"/>
    <s v="&quot;&quot;&quot;Elon Musk Young Readers’ Edition English, Paperback, Vance Ashlee&quot;&quot;&quot;"/>
    <s v="&quot;&quot;&quot;9780753545102&quot;&quot;&quot;"/>
    <s v="&quot;&quot;&quot;SKU:ELON-MUSK01&quot;&quot;&quot;"/>
    <x v="50"/>
    <s v="49011010"/>
    <s v="Sale"/>
    <x v="0"/>
    <s v="Postpaid"/>
    <s v="NON_FBF"/>
    <s v="2025-11-02 00:00:00"/>
    <x v="5"/>
    <s v="2025-11-02 00:00:00"/>
    <s v="1.0"/>
    <s v="IN-RJ"/>
    <s v="NA"/>
    <s v="318.0"/>
    <s v="-14.0"/>
    <s v="-14.0"/>
    <s v="0.0"/>
    <s v="304.0"/>
    <s v="0.0"/>
    <s v="304.0"/>
    <s v="0"/>
    <s v="304.0"/>
    <s v="0.0"/>
    <s v="0.0"/>
    <s v="0.0"/>
    <s v="0.0"/>
    <s v="0.0"/>
    <s v="0.0"/>
    <s v="0.0"/>
    <s v="0.0"/>
    <s v="0.0"/>
    <s v="0.0"/>
    <s v="0.0"/>
    <s v="0.0"/>
    <s v="0.0"/>
    <s v="0.0"/>
    <s v="0.0"/>
    <s v="0.0"/>
    <s v="0.0"/>
    <s v="0.0"/>
    <s v="0.0"/>
    <s v="FAMNXL2600000111"/>
    <s v="2025-11-02 00:00:00.0"/>
    <s v="304.0"/>
    <s v="423203"/>
    <s v="Maharashtra"/>
    <s v="423203"/>
    <s v="423203 - Jalgaon"/>
    <x v="45"/>
    <x v="3"/>
    <s v="NA"/>
    <s v="false"/>
    <s v="0.1"/>
    <s v="0.304"/>
    <s v="NA"/>
    <s v="NA"/>
    <s v="NA"/>
    <s v="Kavita Ankush Shinde"/>
    <s v="NA"/>
  </r>
  <r>
    <s v="08FHGPP4088D1Z1"/>
    <s v="OD435890837919728100"/>
    <s v="435890837919728100"/>
    <s v="&quot;&quot;&quot;Elon Musk Young Readers’ Edition English, Paperback, Vance Ashlee&quot;&quot;&quot;"/>
    <s v="&quot;&quot;&quot;9780753545102&quot;&quot;&quot;"/>
    <s v="&quot;&quot;&quot;SKU:ELON-MUSK01&quot;&quot;&quot;"/>
    <x v="50"/>
    <s v="49011010"/>
    <s v="Return"/>
    <x v="1"/>
    <s v="Postpaid"/>
    <s v="NON_FBF"/>
    <s v="2025-11-02 00:00:00"/>
    <x v="5"/>
    <s v="2025-11-02 00:00:00"/>
    <s v="1.0"/>
    <s v="IN-RJ"/>
    <s v="NA"/>
    <s v="318.0"/>
    <s v="-14.0"/>
    <s v="-14.0"/>
    <s v="0.0"/>
    <s v="304.0"/>
    <s v="0.0"/>
    <s v="304.0"/>
    <s v="0"/>
    <s v="-304.0"/>
    <s v="0.0"/>
    <s v="0.0"/>
    <s v="0.0"/>
    <s v="0.0"/>
    <s v="0.0"/>
    <s v="0.0"/>
    <s v="0.0"/>
    <s v="0.0"/>
    <s v="0.0"/>
    <s v="0.0"/>
    <s v="0.0"/>
    <s v="0.0"/>
    <s v="0.0"/>
    <s v="0.0"/>
    <s v="0.0"/>
    <s v="0.0"/>
    <s v="0.0"/>
    <s v="0.0"/>
    <s v="0.0"/>
    <s v="RAKC4V2600000025"/>
    <s v="2025-11-02 00:00:00.0"/>
    <s v="-304.0"/>
    <s v="423203"/>
    <s v="Maharashtra"/>
    <s v="423203"/>
    <s v="423203 - Jalgaon"/>
    <x v="45"/>
    <x v="3"/>
    <s v="NA"/>
    <s v="false"/>
    <s v="0.1"/>
    <s v="0.304"/>
    <s v="NA"/>
    <s v="NA"/>
    <s v="NA"/>
    <s v="Kavita Ankush Shinde"/>
    <s v="NA"/>
  </r>
  <r>
    <s v="08FHGPP4088D1Z1"/>
    <s v="OD435968196510150100"/>
    <s v="435968196510150100"/>
    <s v="&quot;&quot;&quot;The Magic of Thinking Big - Free Bookmark Inside Paperback, David J. Schwartz&quot;&quot;&quot;"/>
    <s v="&quot;&quot;&quot;9787119149912&quot;&quot;&quot;"/>
    <s v="&quot;&quot;&quot;SKU:THE-MAGIC05&quot;&quot;&quot;"/>
    <x v="51"/>
    <s v="49011010"/>
    <s v="Sale"/>
    <x v="0"/>
    <s v="Postpaid"/>
    <s v="NON_FBF"/>
    <s v="2025-11-11 00:00:00"/>
    <x v="5"/>
    <s v="2025-11-11 00:00:00"/>
    <s v="1.0"/>
    <s v="IN-RJ"/>
    <s v="NA"/>
    <s v="136.0"/>
    <s v="-7.0"/>
    <s v="-7.0"/>
    <s v="0.0"/>
    <s v="129.0"/>
    <s v="0.0"/>
    <s v="129.0"/>
    <s v="0"/>
    <s v="129.0"/>
    <s v="0.0"/>
    <s v="0.0"/>
    <s v="0.0"/>
    <s v="0.0"/>
    <s v="0.0"/>
    <s v="0.0"/>
    <s v="0.0"/>
    <s v="0.0"/>
    <s v="0.0"/>
    <s v="0.0"/>
    <s v="0.0"/>
    <s v="0.0"/>
    <s v="0.0"/>
    <s v="0.0"/>
    <s v="0.0"/>
    <s v="0.0"/>
    <s v="0.0"/>
    <s v="0.0"/>
    <s v="0.0"/>
    <s v="FAMNXL2600000117"/>
    <s v="2025-11-11 00:00:00.0"/>
    <s v="129.0"/>
    <s v="783348"/>
    <s v="Assam"/>
    <s v="783348"/>
    <s v="783348 - Guwahati"/>
    <x v="6"/>
    <x v="5"/>
    <s v="NA"/>
    <s v="false"/>
    <s v="0.1"/>
    <s v="0.129"/>
    <s v="NA"/>
    <s v="NA"/>
    <s v="NA"/>
    <s v="Subhajit Paul"/>
    <s v="NA"/>
  </r>
  <r>
    <s v="08FHGPP4088D1Z1"/>
    <s v="OD335885906102752100"/>
    <s v="335885906102752100"/>
    <s v="&quot;&quot;&quot;Energize Your Mind: Learn The Art Of Mastering Your Thoughts, Feelings And Emotion Paperback, Das Gaur Gopal&quot;&quot;&quot;"/>
    <s v="&quot;&quot;&quot;RBKGW9X7RKHZBQMY&quot;&quot;&quot;"/>
    <s v="&quot;&quot;&quot;SKU:ENERGIZE-YOUR-MIND01&quot;&quot;&quot;"/>
    <x v="48"/>
    <s v="49011010"/>
    <s v="Sale"/>
    <x v="0"/>
    <s v="Prepaid"/>
    <s v="NON_FBF"/>
    <s v="2025-11-01 00:00:00"/>
    <x v="5"/>
    <s v="2025-11-01 00:00:00"/>
    <s v="1.0"/>
    <s v="IN-RJ"/>
    <s v="NA"/>
    <s v="120.0"/>
    <s v="-10.0"/>
    <s v="0.0"/>
    <s v="-10.0"/>
    <s v="110.0"/>
    <s v="0.0"/>
    <s v="110.0"/>
    <s v="0"/>
    <s v="110.0"/>
    <s v="0.0"/>
    <s v="0.0"/>
    <s v="0.0"/>
    <s v="0.0"/>
    <s v="0.0"/>
    <s v="0.0"/>
    <s v="0.0"/>
    <s v="0.0"/>
    <s v="0.0"/>
    <s v="0.0"/>
    <s v="0.0"/>
    <s v="0.0"/>
    <s v="0.0"/>
    <s v="0.0"/>
    <s v="0.0"/>
    <s v="0.0"/>
    <s v="0.0"/>
    <s v="0.0"/>
    <s v="0.0"/>
    <s v="FAMNXL2600000109"/>
    <s v="2025-11-01 00:00:00.0"/>
    <s v="110.0"/>
    <s v="631551"/>
    <s v="Tamil Nadu"/>
    <s v="631551"/>
    <s v="631551 - Tiruvannamalai"/>
    <x v="69"/>
    <x v="4"/>
    <s v="NA"/>
    <s v="false"/>
    <s v="0.1"/>
    <s v="0.11"/>
    <s v="NA"/>
    <s v="NA"/>
    <s v="NA"/>
    <s v="G.RAJKUMAR"/>
    <s v="NA"/>
  </r>
  <r>
    <s v="08FHGPP4088D1Z1"/>
    <s v="OD435968196510150100"/>
    <s v="435968196510150100"/>
    <s v="&quot;&quot;&quot;The Magic of Thinking Big - Free Bookmark Inside Paperback, David J. Schwartz&quot;&quot;&quot;"/>
    <s v="&quot;&quot;&quot;9787119149912&quot;&quot;&quot;"/>
    <s v="&quot;&quot;&quot;SKU:THE-MAGIC05&quot;&quot;&quot;"/>
    <x v="51"/>
    <s v="49011010"/>
    <s v="Return"/>
    <x v="1"/>
    <s v="Postpaid"/>
    <s v="NON_FBF"/>
    <s v="2025-11-11 00:00:00"/>
    <x v="5"/>
    <s v="2025-11-11 00:00:00"/>
    <s v="1.0"/>
    <s v="IN-RJ"/>
    <s v="NA"/>
    <s v="136.0"/>
    <s v="-7.0"/>
    <s v="-7.0"/>
    <s v="0.0"/>
    <s v="129.0"/>
    <s v="0.0"/>
    <s v="129.0"/>
    <s v="0"/>
    <s v="-129.0"/>
    <s v="0.0"/>
    <s v="0.0"/>
    <s v="0.0"/>
    <s v="0.0"/>
    <s v="0.0"/>
    <s v="0.0"/>
    <s v="0.0"/>
    <s v="0.0"/>
    <s v="0.0"/>
    <s v="0.0"/>
    <s v="0.0"/>
    <s v="0.0"/>
    <s v="0.0"/>
    <s v="0.0"/>
    <s v="0.0"/>
    <s v="0.0"/>
    <s v="0.0"/>
    <s v="0.0"/>
    <s v="0.0"/>
    <s v="RAKC4V2600000028"/>
    <s v="2025-11-14 00:00:00.0"/>
    <s v="-129.0"/>
    <s v="783348"/>
    <s v="Assam"/>
    <s v="783348"/>
    <s v="783348 - Guwahati"/>
    <x v="6"/>
    <x v="5"/>
    <s v="NA"/>
    <s v="false"/>
    <s v="0.1"/>
    <s v="0.129"/>
    <s v="NA"/>
    <s v="NA"/>
    <s v="NA"/>
    <s v="Subhajit Paul"/>
    <s v="NA"/>
  </r>
  <r>
    <s v="08FHGPP4088D1Z1"/>
    <s v="OD436118748717090100"/>
    <s v="436118748717090100"/>
    <s v="&quot;&quot;&quot;Who Will Cry When You Die? Paperback, Robin Sharma Paperback, Robin Sharma&quot;&quot;&quot;"/>
    <s v="&quot;&quot;&quot;RBKHB9HJMHVREPGP&quot;&quot;&quot;"/>
    <s v="&quot;&quot;&quot;SKU:WHO-WILL-CRY01&quot;&quot;&quot;"/>
    <x v="26"/>
    <s v="49011010"/>
    <s v="Sale"/>
    <x v="0"/>
    <s v="Prepaid"/>
    <s v="NON_FBF"/>
    <s v="2025-11-28 00:00:00"/>
    <x v="5"/>
    <s v="2025-11-28 00:00:00"/>
    <s v="1.0"/>
    <s v="IN-RJ"/>
    <s v="NA"/>
    <s v="80.0"/>
    <s v="-5.0"/>
    <s v="-5.0"/>
    <s v="0.0"/>
    <s v="75.0"/>
    <s v="0.0"/>
    <s v="75.0"/>
    <s v="0"/>
    <s v="75.0"/>
    <s v="0.0"/>
    <s v="0.0"/>
    <s v="0.0"/>
    <s v="0.0"/>
    <s v="0.0"/>
    <s v="0.0"/>
    <s v="0.0"/>
    <s v="0.0"/>
    <s v="0.0"/>
    <s v="0.0"/>
    <s v="0.0"/>
    <s v="0.0"/>
    <s v="0.0"/>
    <s v="0.0"/>
    <s v="0.0"/>
    <s v="0.0"/>
    <s v="0.0"/>
    <s v="0.0"/>
    <s v="0.0"/>
    <s v="FAMNXL2600000121"/>
    <s v="2025-11-28 00:00:00.0"/>
    <s v="75.0"/>
    <s v="751012"/>
    <s v="Odisha"/>
    <s v="751012"/>
    <s v="751012 - Bhubaneswar"/>
    <x v="1"/>
    <x v="1"/>
    <s v="NA"/>
    <s v="false"/>
    <s v="0.1"/>
    <s v="0.075"/>
    <s v="NA"/>
    <s v="NA"/>
    <s v="NA"/>
    <s v="Pallavi"/>
    <s v="NA"/>
  </r>
  <r>
    <s v="08FHGPP4088D1Z1"/>
    <s v="OD435895079013667100"/>
    <s v="435895079013667100"/>
    <s v="&quot;&quot;&quot;The Psychology of Money English, Paperback, Housel Morgan&quot;&quot;&quot;"/>
    <s v="&quot;&quot;&quot;9780857199096&quot;&quot;&quot;"/>
    <s v="&quot;&quot;&quot;SKU:PSYCH-01&quot;&quot;&quot;"/>
    <x v="47"/>
    <s v="49011010"/>
    <s v="Return"/>
    <x v="2"/>
    <s v="Postpaid"/>
    <s v="NON_FBF"/>
    <s v="2025-11-02 00:00:00"/>
    <x v="5"/>
    <s v="2025-11-02 00:00:00"/>
    <s v="1.0"/>
    <s v="IN-RJ"/>
    <s v="NA"/>
    <s v="74.0"/>
    <s v="-10.0"/>
    <s v="0.0"/>
    <s v="-10.0"/>
    <s v="64.0"/>
    <s v="0.0"/>
    <s v="64.0"/>
    <s v="0"/>
    <s v="-64.0"/>
    <s v="0.0"/>
    <s v="0.0"/>
    <s v="0.0"/>
    <s v="0.0"/>
    <s v="0.0"/>
    <s v="0.0"/>
    <s v="0.0"/>
    <s v="0.0"/>
    <s v="0.0"/>
    <s v="0.0"/>
    <s v="0.0"/>
    <s v="0.0"/>
    <s v="0.0"/>
    <s v="0.0"/>
    <s v="0.0"/>
    <s v="0.0"/>
    <s v="0.0"/>
    <s v="0.0"/>
    <s v="0.0"/>
    <s v="RAKC4V2600000027"/>
    <s v="2025-11-09 00:00:00.0"/>
    <s v="-64.0"/>
    <s v="444203"/>
    <s v="Maharashtra"/>
    <s v="444203"/>
    <s v="444203 - Akola"/>
    <x v="63"/>
    <x v="3"/>
    <s v="NA"/>
    <s v="false"/>
    <s v="0.1"/>
    <s v="0.064"/>
    <s v="NA"/>
    <s v="NA"/>
    <s v="NA"/>
    <s v="Shubham Burungale"/>
    <s v="NA"/>
  </r>
  <r>
    <s v="08FHGPP4088D1Z1"/>
    <s v="OD435887052481551100"/>
    <s v="435887052481551100"/>
    <s v="&quot;&quot;&quot;Elon Musk Young Readers’ Edition English, Paperback, Vance Ashlee&quot;&quot;&quot;"/>
    <s v="&quot;&quot;&quot;9780753545102&quot;&quot;&quot;"/>
    <s v="&quot;&quot;&quot;SKU:ELON-MUSK01&quot;&quot;&quot;"/>
    <x v="50"/>
    <s v="49011010"/>
    <s v="Sale"/>
    <x v="0"/>
    <s v="Prepaid"/>
    <s v="NON_FBF"/>
    <s v="2025-11-01 00:00:00"/>
    <x v="5"/>
    <s v="2025-11-01 00:00:00"/>
    <s v="1.0"/>
    <s v="IN-RJ"/>
    <s v="NA"/>
    <s v="318.0"/>
    <s v="-23.0"/>
    <s v="0.0"/>
    <s v="-23.0"/>
    <s v="295.0"/>
    <s v="0.0"/>
    <s v="295.0"/>
    <s v="0"/>
    <s v="295.0"/>
    <s v="0.0"/>
    <s v="0.0"/>
    <s v="0.0"/>
    <s v="0.0"/>
    <s v="0.0"/>
    <s v="0.0"/>
    <s v="0.0"/>
    <s v="0.0"/>
    <s v="0.0"/>
    <s v="0.0"/>
    <s v="0.0"/>
    <s v="0.0"/>
    <s v="0.0"/>
    <s v="0.0"/>
    <s v="0.0"/>
    <s v="0.0"/>
    <s v="0.0"/>
    <s v="0.0"/>
    <s v="0.0"/>
    <s v="FAMNXL2600000110"/>
    <s v="2025-11-01 00:00:00.0"/>
    <s v="295.0"/>
    <s v="423203"/>
    <s v="Maharashtra"/>
    <s v="423203"/>
    <s v="423203 - Jalgaon"/>
    <x v="45"/>
    <x v="3"/>
    <s v="NA"/>
    <s v="false"/>
    <s v="0.1"/>
    <s v="0.295"/>
    <s v="NA"/>
    <s v="NA"/>
    <s v="NA"/>
    <s v="Kavita Ankush Shinde"/>
    <s v="NA"/>
  </r>
  <r>
    <s v="08FHGPP4088D1Z1"/>
    <s v="OD436005296634487100"/>
    <s v="436005296634487100"/>
    <s v="&quot;&quot;&quot;Elon Musk Young Readers’ Edition English, Paperback, Vance Ashlee&quot;&quot;&quot;"/>
    <s v="&quot;&quot;&quot;9780753545102&quot;&quot;&quot;"/>
    <s v="&quot;&quot;&quot;SKU:ELON-MUSK01&quot;&quot;&quot;"/>
    <x v="50"/>
    <s v="49011010"/>
    <s v="Sale"/>
    <x v="0"/>
    <s v="Postpaid"/>
    <s v="NON_FBF"/>
    <s v="2025-11-15 00:00:00"/>
    <x v="5"/>
    <s v="2025-11-15 00:00:00"/>
    <s v="1.0"/>
    <s v="IN-RJ"/>
    <s v="NA"/>
    <s v="318.0"/>
    <s v="-45.0"/>
    <s v="0.0"/>
    <s v="-45.0"/>
    <s v="273.0"/>
    <s v="0.0"/>
    <s v="273.0"/>
    <s v="0"/>
    <s v="273.0"/>
    <s v="0.0"/>
    <s v="0.0"/>
    <s v="0.0"/>
    <s v="0.0"/>
    <s v="0.0"/>
    <s v="0.0"/>
    <s v="0.0"/>
    <s v="0.0"/>
    <s v="0.0"/>
    <s v="0.0"/>
    <s v="0.0"/>
    <s v="0.0"/>
    <s v="0.0"/>
    <s v="0.0"/>
    <s v="0.0"/>
    <s v="0.0"/>
    <s v="0.0"/>
    <s v="0.0"/>
    <s v="0.0"/>
    <s v="FAMNXL2600000118"/>
    <s v="2025-11-16 00:00:00.0"/>
    <s v="273.0"/>
    <s v="641017"/>
    <s v="Tamil Nadu"/>
    <s v="641017"/>
    <s v="641017 – Coimbatore"/>
    <x v="23"/>
    <x v="4"/>
    <s v="NA"/>
    <s v="false"/>
    <s v="0.1"/>
    <s v="0.273"/>
    <s v="NA"/>
    <s v="NA"/>
    <s v="NA"/>
    <s v="P.Aiam Pandian"/>
    <s v="NA"/>
  </r>
  <r>
    <s v="08FHGPP4088D1Z1"/>
    <s v="OD436005562065798100"/>
    <s v="436005562065798100"/>
    <s v="&quot;&quot;&quot;Who Will Cry When You Die? Paperback, Robin Sharma Paperback, Robin Sharma&quot;&quot;&quot;"/>
    <s v="&quot;&quot;&quot;RBKHB9HJMHVREPGP&quot;&quot;&quot;"/>
    <s v="&quot;&quot;&quot;SKU:WHO-WILL-CRY01&quot;&quot;&quot;"/>
    <x v="26"/>
    <s v="49011010"/>
    <s v="Sale"/>
    <x v="0"/>
    <s v="Prepaid"/>
    <s v="NON_FBF"/>
    <s v="2025-11-15 00:00:00"/>
    <x v="5"/>
    <s v="2025-11-15 00:00:00"/>
    <s v="1.0"/>
    <s v="IN-RJ"/>
    <s v="NA"/>
    <s v="87.0"/>
    <s v="-8.0"/>
    <s v="0.0"/>
    <s v="-8.0"/>
    <s v="79.0"/>
    <s v="0.0"/>
    <s v="79.0"/>
    <s v="0"/>
    <s v="79.0"/>
    <s v="0.0"/>
    <s v="0.0"/>
    <s v="0.0"/>
    <s v="0.0"/>
    <s v="0.0"/>
    <s v="0.0"/>
    <s v="0.0"/>
    <s v="0.0"/>
    <s v="0.0"/>
    <s v="0.0"/>
    <s v="0.0"/>
    <s v="0.0"/>
    <s v="0.0"/>
    <s v="0.0"/>
    <s v="0.0"/>
    <s v="0.0"/>
    <s v="0.0"/>
    <s v="0.0"/>
    <s v="0.0"/>
    <s v="FAMNXL2600000119"/>
    <s v="2025-11-16 00:00:00.0"/>
    <s v="79.0"/>
    <s v="364002"/>
    <s v="Gujarat"/>
    <s v="364002"/>
    <s v="364002 – Jamnagar"/>
    <x v="70"/>
    <x v="11"/>
    <s v="NA"/>
    <s v="false"/>
    <s v="0.1"/>
    <s v="0.079"/>
    <s v="NA"/>
    <s v="NA"/>
    <s v="NA"/>
    <s v="Khushi Vadher"/>
    <s v="NA"/>
  </r>
  <r>
    <s v="08FHGPP4088D1Z1"/>
    <s v="OD336143907938495100"/>
    <s v="336143907938495100"/>
    <s v="&quot;&quot;&quot;Who Will Cry When You Die? Paperback, Robin Sharma&quot;&quot;&quot;"/>
    <s v="&quot;&quot;&quot;RBKGX8NRN7QCYDXP&quot;&quot;&quot;"/>
    <s v="&quot;&quot;&quot;SKU:WHO-WILL-CRY03&quot;&quot;&quot;"/>
    <x v="24"/>
    <s v="49011010"/>
    <s v="Return"/>
    <x v="1"/>
    <s v="Prepaid"/>
    <s v="NON_FBF"/>
    <s v="2025-12-01 00:00:00"/>
    <x v="6"/>
    <s v="2025-12-01 00:00:00"/>
    <s v="1.0"/>
    <s v="IN-RJ"/>
    <s v="NA"/>
    <s v="80.0"/>
    <s v="-5.0"/>
    <s v="-5.0"/>
    <s v="0.0"/>
    <s v="75.0"/>
    <s v="0.0"/>
    <s v="75.0"/>
    <s v="0"/>
    <s v="-75.0"/>
    <s v="0.0"/>
    <s v="0.0"/>
    <s v="0.0"/>
    <s v="0.0"/>
    <s v="0.0"/>
    <s v="0.0"/>
    <s v="0.0"/>
    <s v="0.0"/>
    <s v="0.0"/>
    <s v="0.0"/>
    <s v="0.0"/>
    <s v="0.0"/>
    <s v="0.0"/>
    <s v="0.0"/>
    <s v="0.0"/>
    <s v="0.0"/>
    <s v="0.0"/>
    <s v="0.0"/>
    <s v="0.0"/>
    <s v="RAKC4V2600000029"/>
    <s v="2025-12-05 00:00:00.0"/>
    <s v="-75.0"/>
    <s v="600056"/>
    <s v="Tamil Nadu"/>
    <s v="600056"/>
    <s v="600056 - Chennai"/>
    <x v="4"/>
    <x v="4"/>
    <s v="NA"/>
    <s v="false"/>
    <s v="0.1"/>
    <s v="0.075"/>
    <s v="NA"/>
    <s v="NA"/>
    <s v="NA"/>
    <s v="Muthamizh"/>
    <s v="NA"/>
  </r>
  <r>
    <s v="08FHGPP4088D1Z1"/>
    <s v="OD436180516862505100"/>
    <s v="436180516862505121"/>
    <s v="&quot;&quot;&quot;Do More Better English, Paperback, Challies Tim&quot;&quot;&quot;"/>
    <s v="&quot;&quot;&quot;9781941114179&quot;&quot;&quot;"/>
    <s v="&quot;&quot;&quot;SKU:DOMORE-4&quot;&quot;&quot;"/>
    <x v="34"/>
    <s v="49011010"/>
    <s v="Sale"/>
    <x v="0"/>
    <s v="Prepaid"/>
    <s v="NON_FBF"/>
    <s v="2025-12-05 00:00:00"/>
    <x v="6"/>
    <s v="2025-12-05 00:00:00"/>
    <s v="1.0"/>
    <s v="IN-RJ"/>
    <s v="NA"/>
    <s v="75.0"/>
    <s v="-5.0"/>
    <s v="-5.0"/>
    <s v="0.0"/>
    <s v="70.0"/>
    <s v="0.0"/>
    <s v="70.0"/>
    <s v="0"/>
    <s v="70.0"/>
    <s v="0.0"/>
    <s v="0.0"/>
    <s v="0.0"/>
    <s v="0.0"/>
    <s v="0.0"/>
    <s v="0.0"/>
    <s v="0.0"/>
    <s v="0.0"/>
    <s v="0.0"/>
    <s v="0.0"/>
    <s v="0.0"/>
    <s v="0.0"/>
    <s v="0.0"/>
    <s v="0.0"/>
    <s v="0.0"/>
    <s v="0.0"/>
    <s v="0.0"/>
    <s v="0.0"/>
    <s v="0.0"/>
    <s v="FAMNXL2600000123"/>
    <s v="2025-12-05 00:00:00.0"/>
    <s v="70.0"/>
    <s v="797109"/>
    <s v="Nagaland"/>
    <s v="797109"/>
    <s v="797109 – Aizawl"/>
    <x v="71"/>
    <x v="26"/>
    <s v="NA"/>
    <s v="false"/>
    <s v="0.1"/>
    <s v="0.07"/>
    <s v="NA"/>
    <s v="NA"/>
    <s v="NA"/>
    <s v="Japheth Woch"/>
    <s v="NA"/>
  </r>
  <r>
    <s v="08FHGPP4088D1Z1"/>
    <s v="OD336143907938495100"/>
    <s v="336143907938495100"/>
    <s v="&quot;&quot;&quot;Who Will Cry When You Die? Paperback, Robin Sharma&quot;&quot;&quot;"/>
    <s v="&quot;&quot;&quot;RBKGX8NRN7QCYDXP&quot;&quot;&quot;"/>
    <s v="&quot;&quot;&quot;SKU:WHO-WILL-CRY03&quot;&quot;&quot;"/>
    <x v="24"/>
    <s v="49011010"/>
    <s v="Sale"/>
    <x v="0"/>
    <s v="Prepaid"/>
    <s v="NON_FBF"/>
    <s v="2025-12-01 00:00:00"/>
    <x v="6"/>
    <s v="2025-12-01 00:00:00"/>
    <s v="1.0"/>
    <s v="IN-RJ"/>
    <s v="NA"/>
    <s v="80.0"/>
    <s v="-5.0"/>
    <s v="-5.0"/>
    <s v="0.0"/>
    <s v="75.0"/>
    <s v="0.0"/>
    <s v="75.0"/>
    <s v="0"/>
    <s v="75.0"/>
    <s v="0.0"/>
    <s v="0.0"/>
    <s v="0.0"/>
    <s v="0.0"/>
    <s v="0.0"/>
    <s v="0.0"/>
    <s v="0.0"/>
    <s v="0.0"/>
    <s v="0.0"/>
    <s v="0.0"/>
    <s v="0.0"/>
    <s v="0.0"/>
    <s v="0.0"/>
    <s v="0.0"/>
    <s v="0.0"/>
    <s v="0.0"/>
    <s v="0.0"/>
    <s v="0.0"/>
    <s v="0.0"/>
    <s v="FAMNXL2600000122"/>
    <s v="2025-12-02 00:00:00.0"/>
    <s v="75.0"/>
    <s v="600056"/>
    <s v="Tamil Nadu"/>
    <n v="600056"/>
    <s v="600056 - Chennai"/>
    <x v="4"/>
    <x v="4"/>
    <s v="NA"/>
    <s v="false"/>
    <s v="0.1"/>
    <s v="0.075"/>
    <s v="NA"/>
    <s v="NA"/>
    <s v="NA"/>
    <s v="Muthamizh"/>
    <s v="NA"/>
  </r>
  <r>
    <s v="08FHGPP4088D1Z1"/>
    <s v="OD436180516862505100"/>
    <s v="436180516862505121"/>
    <s v="&quot;&quot;&quot;Do More Better English, Paperback, Challies Tim&quot;&quot;&quot;"/>
    <s v="&quot;&quot;&quot;9781941114179&quot;&quot;&quot;"/>
    <s v="&quot;&quot;&quot;SKU:DOMORE-4&quot;&quot;&quot;"/>
    <x v="34"/>
    <s v="49011010"/>
    <s v="Return"/>
    <x v="1"/>
    <s v="Prepaid"/>
    <s v="NON_FBF"/>
    <s v="2025-12-05 00:00:00"/>
    <x v="6"/>
    <s v="2025-12-05 00:00:00"/>
    <s v="1.0"/>
    <s v="IN-RJ"/>
    <s v="NA"/>
    <s v="75.0"/>
    <s v="-5.0"/>
    <s v="-5.0"/>
    <s v="0.0"/>
    <s v="70.0"/>
    <s v="0.0"/>
    <s v="70.0"/>
    <s v="0"/>
    <s v="-70.0"/>
    <s v="0.0"/>
    <s v="0.0"/>
    <s v="0.0"/>
    <s v="0.0"/>
    <s v="0.0"/>
    <s v="0.0"/>
    <s v="0.0"/>
    <s v="0.0"/>
    <s v="0.0"/>
    <s v="0.0"/>
    <s v="0.0"/>
    <s v="0.0"/>
    <s v="0.0"/>
    <s v="0.0"/>
    <s v="0.0"/>
    <s v="0.0"/>
    <s v="0.0"/>
    <s v="0.0"/>
    <s v="0.0"/>
    <s v="RAKC4V2600000030"/>
    <s v="2025-12-09 00:00:00.0"/>
    <s v="-70.0"/>
    <s v="797109"/>
    <s v="Nagaland"/>
    <n v="797109"/>
    <s v="797109 - Aizawl"/>
    <x v="71"/>
    <x v="26"/>
    <s v="NA"/>
    <s v="false"/>
    <s v="0.1"/>
    <s v="0.07"/>
    <s v="NA"/>
    <s v="NA"/>
    <s v="NA"/>
    <s v="Japheth Woch"/>
    <s v="NA"/>
  </r>
  <r>
    <s v="08FHGPP4088D1Z1"/>
    <s v="OD336207960350051100"/>
    <s v="336207960350051100"/>
    <s v="&quot;&quot;&quot;Energize Your Mind Paperback, Gaur Gopal Das&quot;&quot;&quot;"/>
    <s v="&quot;&quot;&quot;RBKGWRDCMRGQU6UZ&quot;&quot;&quot;"/>
    <s v="&quot;&quot;&quot;SKU:ENERGIZE-YOUR-MIND02&quot;&quot;&quot;"/>
    <x v="49"/>
    <s v="49011010"/>
    <s v="Sale"/>
    <x v="0"/>
    <s v="Postpaid"/>
    <s v="NON_FBF"/>
    <s v="2025-12-09 00:00:00"/>
    <x v="6"/>
    <s v="2025-12-09 00:00:00"/>
    <s v="1.0"/>
    <s v="IN-RJ"/>
    <s v="NA"/>
    <s v="111.0"/>
    <s v="-6.0"/>
    <s v="-6.0"/>
    <s v="0.0"/>
    <s v="105.0"/>
    <s v="0.0"/>
    <s v="105.0"/>
    <s v="0"/>
    <s v="105.0"/>
    <s v="0.0"/>
    <s v="0.0"/>
    <s v="0.0"/>
    <s v="0.0"/>
    <s v="0.0"/>
    <s v="0.0"/>
    <s v="0.0"/>
    <s v="0.0"/>
    <s v="0.0"/>
    <s v="0.0"/>
    <s v="0.0"/>
    <s v="0.0"/>
    <s v="0.0"/>
    <s v="0.0"/>
    <s v="0.0"/>
    <s v="0.0"/>
    <s v="0.0"/>
    <s v="0.0"/>
    <s v="0.0"/>
    <s v="FAMNXL2600000126"/>
    <s v="2025-12-09 00:00:00.0"/>
    <s v="105.0"/>
    <s v="788005"/>
    <s v="Assam"/>
    <s v="788005"/>
    <s v="788005 – Cachar"/>
    <x v="72"/>
    <x v="5"/>
    <s v="NA"/>
    <s v="false"/>
    <s v="0.1"/>
    <s v="0.105"/>
    <s v="NA"/>
    <s v="NA"/>
    <s v="NA"/>
    <s v="DEBAJIT ROY"/>
    <s v="NA"/>
  </r>
  <r>
    <s v="08FHGPP4088D1Z1"/>
    <s v="OD436206824784139100"/>
    <s v="436206824784139100"/>
    <s v="&quot;&quot;&quot;Who Will Cry When You Die? Paperback, Robin Sharma Paperback, Robin Sharma&quot;&quot;&quot;"/>
    <s v="&quot;&quot;&quot;RBKHB9HJMHVREPGP&quot;&quot;&quot;"/>
    <s v="&quot;&quot;&quot;SKU:WHO-WILL-CRY01&quot;&quot;&quot;"/>
    <x v="26"/>
    <s v="49011010"/>
    <s v="Sale"/>
    <x v="0"/>
    <s v="Prepaid"/>
    <s v="NON_FBF"/>
    <s v="2025-12-08 00:00:00"/>
    <x v="6"/>
    <s v="2025-12-08 00:00:00"/>
    <s v="1.0"/>
    <s v="IN-RJ"/>
    <s v="NA"/>
    <s v="82.0"/>
    <s v="-5.0"/>
    <s v="-5.0"/>
    <s v="0.0"/>
    <s v="77.0"/>
    <s v="0.0"/>
    <s v="77.0"/>
    <s v="0"/>
    <s v="77.0"/>
    <s v="0.0"/>
    <s v="0.0"/>
    <s v="0.0"/>
    <s v="0.0"/>
    <s v="0.0"/>
    <s v="0.0"/>
    <s v="0.0"/>
    <s v="0.0"/>
    <s v="0.0"/>
    <s v="0.0"/>
    <s v="0.0"/>
    <s v="0.0"/>
    <s v="0.0"/>
    <s v="0.0"/>
    <s v="0.0"/>
    <s v="0.0"/>
    <s v="0.0"/>
    <s v="0.0"/>
    <s v="0.0"/>
    <s v="FAMNXL2600000125"/>
    <s v="2025-12-08 00:00:00.0"/>
    <s v="77.0"/>
    <s v="678003"/>
    <s v="Kerala"/>
    <s v="678003"/>
    <s v="678003 – Wayanad"/>
    <x v="73"/>
    <x v="12"/>
    <s v="NA"/>
    <s v="false"/>
    <s v="0.1"/>
    <s v="0.077"/>
    <s v="NA"/>
    <s v="NA"/>
    <s v="NA"/>
    <s v="Mouli"/>
    <s v="NA"/>
  </r>
  <r>
    <s v="08FHGPP4088D1Z1"/>
    <s v="OD436332847546308100"/>
    <s v="436332847546308102"/>
    <s v="&quot;&quot;&quot;Who Will Cry When You Die? Paperback, Robin Sharma Paperback, Robin Sharma&quot;&quot;&quot;"/>
    <s v="&quot;&quot;&quot;RBKHB9HJMHVREPGP&quot;&quot;&quot;"/>
    <s v="&quot;&quot;&quot;SKU:WHO-WILL-CRY01&quot;&quot;&quot;"/>
    <x v="26"/>
    <s v="49011010"/>
    <s v="Sale"/>
    <x v="0"/>
    <s v="Prepaid"/>
    <s v="NON_FBF"/>
    <s v="2025-12-23 00:00:00"/>
    <x v="6"/>
    <s v="2025-12-23 00:00:00"/>
    <s v="1.0"/>
    <s v="IN-RJ"/>
    <s v="NA"/>
    <s v="80.0"/>
    <s v="-5.0"/>
    <s v="-5.0"/>
    <s v="0.0"/>
    <s v="75.0"/>
    <s v="0.0"/>
    <s v="75.0"/>
    <s v="0"/>
    <s v="75.0"/>
    <s v="0.0"/>
    <s v="0.0"/>
    <s v="0.0"/>
    <s v="0.0"/>
    <s v="0.0"/>
    <s v="0.0"/>
    <s v="0.0"/>
    <s v="0.0"/>
    <s v="0.0"/>
    <s v="0.0"/>
    <s v="0.0"/>
    <s v="0.0"/>
    <s v="0.0"/>
    <s v="0.0"/>
    <s v="0.0"/>
    <s v="0.0"/>
    <s v="0.0"/>
    <s v="0.0"/>
    <s v="0.0"/>
    <s v="FAMNXL2600000127"/>
    <s v="2025-12-24 00:00:00.0"/>
    <s v="75.0"/>
    <s v="632001"/>
    <s v="Tamil Nadu"/>
    <s v="632001"/>
    <s v="632001 – Salem"/>
    <x v="74"/>
    <x v="4"/>
    <s v="NA"/>
    <s v="false"/>
    <s v="0.1"/>
    <s v="0.075"/>
    <s v="NA"/>
    <s v="NA"/>
    <s v="NA"/>
    <s v="Oviya"/>
    <s v="NA"/>
  </r>
  <r>
    <s v="08FHGPP4088D1Z1"/>
    <s v="OD336196916053727100"/>
    <s v="336196916053727100"/>
    <s v="&quot;&quot;&quot;Energize Your Mind Paperback, Gaur Gopal Das&quot;&quot;&quot;"/>
    <s v="&quot;&quot;&quot;RBKGWRDCMRGQU6UZ&quot;&quot;&quot;"/>
    <s v="&quot;&quot;&quot;SKU:ENERGIZE-YOUR-MIND02&quot;&quot;&quot;"/>
    <x v="49"/>
    <s v="49011010"/>
    <s v="Sale"/>
    <x v="0"/>
    <s v="Postpaid"/>
    <s v="NON_FBF"/>
    <s v="2025-12-07 00:00:00"/>
    <x v="6"/>
    <s v="2025-12-07 00:00:00"/>
    <s v="1.0"/>
    <s v="IN-RJ"/>
    <s v="NA"/>
    <s v="111.0"/>
    <s v="-6.0"/>
    <s v="-6.0"/>
    <s v="0.0"/>
    <s v="105.0"/>
    <s v="0.0"/>
    <s v="105.0"/>
    <s v="0"/>
    <s v="105.0"/>
    <s v="0.0"/>
    <s v="0.0"/>
    <s v="0.0"/>
    <s v="0.0"/>
    <s v="0.0"/>
    <s v="0.0"/>
    <s v="0.0"/>
    <s v="0.0"/>
    <s v="0.0"/>
    <s v="0.0"/>
    <s v="0.0"/>
    <s v="0.0"/>
    <s v="0.0"/>
    <s v="0.0"/>
    <s v="0.0"/>
    <s v="0.0"/>
    <s v="0.0"/>
    <s v="0.0"/>
    <s v="0.0"/>
    <s v="FAMNXL2600000124"/>
    <s v="2025-12-07 00:00:00.0"/>
    <s v="105.0"/>
    <s v="741506"/>
    <s v="West Bengal"/>
    <s v="741506"/>
    <s v="741506 – Bardhaman"/>
    <x v="59"/>
    <x v="9"/>
    <s v="NA"/>
    <s v="false"/>
    <s v="0.1"/>
    <s v="0.105"/>
    <s v="NA"/>
    <s v="NA"/>
    <s v="NA"/>
    <s v="Malabika Biswas"/>
    <s v="NA"/>
  </r>
  <r>
    <s v="08FHGPP4088D1Z1"/>
    <s v="OD336366423066248100"/>
    <s v="336366423066248100"/>
    <s v="&quot;&quot;&quot;Who Will Cry When You Die? Paperback, Robin Sharma Paperback, Robin Sharma&quot;&quot;&quot;"/>
    <s v="&quot;&quot;&quot;RBKHB9HJMHVREPGP&quot;&quot;&quot;"/>
    <s v="&quot;&quot;&quot;SKU:WHO-WILL-CRY01&quot;&quot;&quot;"/>
    <x v="26"/>
    <s v="49011010"/>
    <s v="Sale"/>
    <x v="0"/>
    <s v="Postpaid"/>
    <s v="NON_FBF"/>
    <s v="2025-12-27 00:00:00"/>
    <x v="6"/>
    <s v="2025-12-27 00:00:00"/>
    <s v="1.0"/>
    <s v="IN-RJ"/>
    <s v="NA"/>
    <s v="80.0"/>
    <s v="-5.0"/>
    <s v="-5.0"/>
    <s v="0.0"/>
    <s v="75.0"/>
    <s v="0.0"/>
    <s v="75.0"/>
    <s v="0"/>
    <s v="75.0"/>
    <s v="0.0"/>
    <s v="0.0"/>
    <s v="0.0"/>
    <s v="0.0"/>
    <s v="0.0"/>
    <s v="0.0"/>
    <s v="0.0"/>
    <s v="0.0"/>
    <s v="0.0"/>
    <s v="0.0"/>
    <s v="0.0"/>
    <s v="0.0"/>
    <s v="0.0"/>
    <s v="0.0"/>
    <s v="0.0"/>
    <s v="0.0"/>
    <s v="0.0"/>
    <s v="0.0"/>
    <s v="0.0"/>
    <s v="FAMNXL2600000129"/>
    <s v="2025-12-27 00:00:00.0"/>
    <s v="75.0"/>
    <s v="560058"/>
    <s v="Karnataka"/>
    <n v="560058"/>
    <s v="560058 - Bengaluru"/>
    <x v="24"/>
    <x v="0"/>
    <s v="NA"/>
    <s v="false"/>
    <s v="0.1"/>
    <s v="0.075"/>
    <s v="NA"/>
    <s v="NA"/>
    <s v="NA"/>
    <s v="Mohan Raj"/>
    <s v="N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35BFC22-9A8A-46EB-8221-AA128A2D29F2}" name="PivotTable2" cacheId="1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A56" firstHeaderRow="1" firstDataRow="1" firstDataCol="1"/>
  <pivotFields count="64">
    <pivotField showAll="0"/>
    <pivotField showAll="0"/>
    <pivotField showAll="0"/>
    <pivotField showAll="0"/>
    <pivotField showAll="0"/>
    <pivotField showAll="0"/>
    <pivotField axis="axisRow" showAll="0">
      <items count="53">
        <item x="17"/>
        <item x="16"/>
        <item x="1"/>
        <item x="6"/>
        <item x="41"/>
        <item x="25"/>
        <item x="3"/>
        <item x="0"/>
        <item x="19"/>
        <item x="11"/>
        <item x="37"/>
        <item x="29"/>
        <item x="32"/>
        <item x="30"/>
        <item x="34"/>
        <item x="50"/>
        <item x="21"/>
        <item x="48"/>
        <item x="49"/>
        <item x="46"/>
        <item x="31"/>
        <item x="33"/>
        <item x="22"/>
        <item x="9"/>
        <item x="5"/>
        <item x="18"/>
        <item x="2"/>
        <item x="47"/>
        <item x="44"/>
        <item x="43"/>
        <item x="28"/>
        <item x="35"/>
        <item x="20"/>
        <item x="39"/>
        <item x="15"/>
        <item x="4"/>
        <item x="13"/>
        <item x="12"/>
        <item x="40"/>
        <item x="8"/>
        <item x="38"/>
        <item x="42"/>
        <item x="51"/>
        <item x="36"/>
        <item x="7"/>
        <item x="27"/>
        <item x="10"/>
        <item x="23"/>
        <item x="14"/>
        <item x="45"/>
        <item x="26"/>
        <item x="2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5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62842D9-9EB8-46FD-A7A4-719A6E1DBF3D}" name="PivotTable3" cacheId="1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10" firstHeaderRow="1" firstDataRow="1" firstDataCol="1"/>
  <pivotFields count="64">
    <pivotField showAll="0"/>
    <pivotField showAll="0"/>
    <pivotField showAll="0"/>
    <pivotField showAll="0"/>
    <pivotField showAll="0"/>
    <pivotField showAll="0"/>
    <pivotField showAll="0"/>
    <pivotField showAll="0"/>
    <pivotField showAll="0"/>
    <pivotField axis="axisRow" showAll="0">
      <items count="5">
        <item h="1" x="1"/>
        <item x="2"/>
        <item m="1" x="3"/>
        <item h="1" x="0"/>
        <item t="default"/>
      </items>
    </pivotField>
    <pivotField showAll="0"/>
    <pivotField showAll="0"/>
    <pivotField showAll="0"/>
    <pivotField axis="axisRow" showAll="0">
      <items count="8">
        <item x="0"/>
        <item x="1"/>
        <item x="2"/>
        <item x="3"/>
        <item x="4"/>
        <item x="5"/>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9"/>
    <field x="13"/>
  </rowFields>
  <rowItems count="7">
    <i>
      <x v="1"/>
    </i>
    <i r="1">
      <x v="1"/>
    </i>
    <i r="1">
      <x v="2"/>
    </i>
    <i r="1">
      <x v="3"/>
    </i>
    <i r="1">
      <x v="4"/>
    </i>
    <i r="1">
      <x v="5"/>
    </i>
    <i t="grand">
      <x/>
    </i>
  </rowItems>
  <colItems count="1">
    <i/>
  </colItems>
  <dataFields count="1">
    <dataField name="Count of Buyer Invoice ID" fld="46" subtotal="count" baseField="0" baseItem="0"/>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54B98DF-420F-4539-865E-AAE768DC6BCE}" name="PivotTable4" cacheId="1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20:B29" firstHeaderRow="1" firstDataRow="1" firstDataCol="1"/>
  <pivotFields count="64">
    <pivotField showAll="0"/>
    <pivotField showAll="0"/>
    <pivotField showAll="0"/>
    <pivotField showAll="0"/>
    <pivotField showAll="0"/>
    <pivotField showAll="0"/>
    <pivotField showAll="0"/>
    <pivotField showAll="0"/>
    <pivotField showAll="0"/>
    <pivotField axis="axisRow" showAll="0">
      <items count="5">
        <item h="1" x="1"/>
        <item h="1" x="2"/>
        <item h="1" m="1" x="3"/>
        <item x="0"/>
        <item t="default"/>
      </items>
    </pivotField>
    <pivotField showAll="0"/>
    <pivotField showAll="0"/>
    <pivotField showAll="0"/>
    <pivotField axis="axisRow" showAll="0">
      <items count="8">
        <item x="0"/>
        <item x="1"/>
        <item x="2"/>
        <item x="3"/>
        <item x="4"/>
        <item x="5"/>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9"/>
    <field x="13"/>
  </rowFields>
  <rowItems count="9">
    <i>
      <x v="3"/>
    </i>
    <i r="1">
      <x/>
    </i>
    <i r="1">
      <x v="1"/>
    </i>
    <i r="1">
      <x v="2"/>
    </i>
    <i r="1">
      <x v="3"/>
    </i>
    <i r="1">
      <x v="4"/>
    </i>
    <i r="1">
      <x v="5"/>
    </i>
    <i r="1">
      <x v="6"/>
    </i>
    <i t="grand">
      <x/>
    </i>
  </rowItems>
  <colItems count="1">
    <i/>
  </colItems>
  <dataFields count="1">
    <dataField name="Count of Buyer Invoice ID" fld="46" subtotal="count" baseField="0" baseItem="0"/>
  </dataField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C2FAF0D-E964-4888-9B85-0E7203FA03EE}" name="PivotTable6" cacheId="1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3:B56" firstHeaderRow="1" firstDataRow="1" firstDataCol="1" rowPageCount="1" colPageCount="1"/>
  <pivotFields count="64">
    <pivotField showAll="0"/>
    <pivotField showAll="0"/>
    <pivotField showAll="0"/>
    <pivotField showAll="0"/>
    <pivotField showAll="0"/>
    <pivotField showAll="0"/>
    <pivotField axis="axisRow" showAll="0">
      <items count="53">
        <item x="17"/>
        <item x="16"/>
        <item x="1"/>
        <item x="6"/>
        <item x="41"/>
        <item x="25"/>
        <item x="3"/>
        <item x="0"/>
        <item x="19"/>
        <item x="11"/>
        <item x="37"/>
        <item x="29"/>
        <item x="32"/>
        <item x="30"/>
        <item x="34"/>
        <item x="50"/>
        <item x="21"/>
        <item x="48"/>
        <item x="49"/>
        <item x="46"/>
        <item x="31"/>
        <item x="33"/>
        <item x="22"/>
        <item x="9"/>
        <item x="5"/>
        <item x="18"/>
        <item x="2"/>
        <item x="47"/>
        <item x="44"/>
        <item x="43"/>
        <item x="28"/>
        <item x="35"/>
        <item x="20"/>
        <item x="39"/>
        <item x="15"/>
        <item x="4"/>
        <item x="13"/>
        <item x="12"/>
        <item x="40"/>
        <item x="8"/>
        <item x="38"/>
        <item x="42"/>
        <item x="51"/>
        <item x="36"/>
        <item x="7"/>
        <item x="27"/>
        <item x="10"/>
        <item x="23"/>
        <item x="14"/>
        <item x="45"/>
        <item x="26"/>
        <item x="24"/>
        <item t="default"/>
      </items>
    </pivotField>
    <pivotField showAll="0"/>
    <pivotField showAll="0"/>
    <pivotField axis="axisPage" showAll="0">
      <items count="5">
        <item x="1"/>
        <item x="2"/>
        <item m="1" x="3"/>
        <item x="0"/>
        <item t="default"/>
      </items>
    </pivotField>
    <pivotField showAll="0"/>
    <pivotField showAll="0"/>
    <pivotField showAll="0"/>
    <pivotField showAll="0">
      <items count="8">
        <item x="0"/>
        <item x="1"/>
        <item x="2"/>
        <item x="3"/>
        <item x="4"/>
        <item x="5"/>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items count="76">
        <item x="48"/>
        <item x="14"/>
        <item x="52"/>
        <item x="71"/>
        <item x="63"/>
        <item x="49"/>
        <item x="27"/>
        <item x="59"/>
        <item x="0"/>
        <item x="24"/>
        <item x="40"/>
        <item x="32"/>
        <item x="1"/>
        <item x="46"/>
        <item x="54"/>
        <item x="72"/>
        <item x="7"/>
        <item x="4"/>
        <item x="53"/>
        <item x="23"/>
        <item x="2"/>
        <item x="13"/>
        <item x="20"/>
        <item x="43"/>
        <item x="30"/>
        <item x="6"/>
        <item x="62"/>
        <item x="44"/>
        <item x="60"/>
        <item x="34"/>
        <item x="35"/>
        <item x="45"/>
        <item x="11"/>
        <item x="70"/>
        <item x="61"/>
        <item x="36"/>
        <item x="19"/>
        <item x="51"/>
        <item x="12"/>
        <item x="50"/>
        <item x="39"/>
        <item x="28"/>
        <item x="64"/>
        <item x="17"/>
        <item x="26"/>
        <item x="21"/>
        <item x="33"/>
        <item x="10"/>
        <item x="42"/>
        <item x="41"/>
        <item x="25"/>
        <item x="56"/>
        <item x="55"/>
        <item x="57"/>
        <item x="3"/>
        <item x="16"/>
        <item x="8"/>
        <item x="15"/>
        <item x="74"/>
        <item x="31"/>
        <item x="58"/>
        <item x="9"/>
        <item x="29"/>
        <item x="5"/>
        <item x="66"/>
        <item x="69"/>
        <item x="37"/>
        <item x="38"/>
        <item x="18"/>
        <item x="68"/>
        <item x="47"/>
        <item x="65"/>
        <item x="22"/>
        <item x="73"/>
        <item x="67"/>
        <item t="default"/>
      </items>
    </pivotField>
    <pivotField showAll="0">
      <items count="29">
        <item x="13"/>
        <item x="18"/>
        <item x="5"/>
        <item x="20"/>
        <item x="6"/>
        <item x="23"/>
        <item x="21"/>
        <item x="11"/>
        <item x="22"/>
        <item x="24"/>
        <item x="8"/>
        <item x="7"/>
        <item x="0"/>
        <item x="12"/>
        <item x="16"/>
        <item x="3"/>
        <item x="25"/>
        <item x="15"/>
        <item m="1" x="27"/>
        <item x="26"/>
        <item x="1"/>
        <item x="17"/>
        <item x="19"/>
        <item x="4"/>
        <item x="14"/>
        <item x="10"/>
        <item x="2"/>
        <item x="9"/>
        <item t="default"/>
      </items>
    </pivotField>
    <pivotField showAll="0"/>
    <pivotField showAll="0"/>
    <pivotField showAll="0"/>
    <pivotField showAll="0"/>
    <pivotField showAll="0"/>
    <pivotField showAll="0"/>
    <pivotField showAll="0"/>
    <pivotField showAll="0"/>
    <pivotField showAll="0"/>
  </pivotFields>
  <rowFields count="1">
    <field x="6"/>
  </rowFields>
  <rowItems count="5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t="grand">
      <x/>
    </i>
  </rowItems>
  <colItems count="1">
    <i/>
  </colItems>
  <pageFields count="1">
    <pageField fld="9" hier="-1"/>
  </pageFields>
  <dataFields count="1">
    <dataField name="Count of Buyer Invoice ID" fld="46"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025AA2D-7439-48E6-92CB-55D508B26A16}" name="PivotTable1" cacheId="1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3:B31" firstHeaderRow="1" firstDataRow="1" firstDataCol="1" rowPageCount="1" colPageCount="1"/>
  <pivotFields count="64">
    <pivotField showAll="0"/>
    <pivotField showAll="0"/>
    <pivotField showAll="0"/>
    <pivotField showAll="0"/>
    <pivotField showAll="0"/>
    <pivotField showAll="0"/>
    <pivotField showAll="0"/>
    <pivotField showAll="0"/>
    <pivotField showAll="0"/>
    <pivotField axis="axisPage" showAll="0">
      <items count="5">
        <item x="1"/>
        <item x="2"/>
        <item m="1" x="3"/>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axis="axisRow" showAll="0">
      <items count="29">
        <item x="13"/>
        <item x="18"/>
        <item x="5"/>
        <item x="20"/>
        <item x="6"/>
        <item x="23"/>
        <item x="21"/>
        <item x="11"/>
        <item x="22"/>
        <item x="24"/>
        <item x="8"/>
        <item x="7"/>
        <item x="0"/>
        <item x="12"/>
        <item x="16"/>
        <item x="3"/>
        <item x="25"/>
        <item x="15"/>
        <item m="1" x="27"/>
        <item x="26"/>
        <item x="1"/>
        <item x="17"/>
        <item x="19"/>
        <item x="4"/>
        <item x="14"/>
        <item x="10"/>
        <item x="2"/>
        <item x="9"/>
        <item t="default"/>
      </items>
    </pivotField>
    <pivotField showAll="0"/>
    <pivotField showAll="0"/>
    <pivotField showAll="0"/>
    <pivotField showAll="0"/>
    <pivotField showAll="0"/>
    <pivotField showAll="0"/>
    <pivotField showAll="0"/>
    <pivotField showAll="0"/>
    <pivotField showAll="0"/>
  </pivotFields>
  <rowFields count="1">
    <field x="54"/>
  </rowFields>
  <rowItems count="28">
    <i>
      <x/>
    </i>
    <i>
      <x v="1"/>
    </i>
    <i>
      <x v="2"/>
    </i>
    <i>
      <x v="3"/>
    </i>
    <i>
      <x v="4"/>
    </i>
    <i>
      <x v="5"/>
    </i>
    <i>
      <x v="6"/>
    </i>
    <i>
      <x v="7"/>
    </i>
    <i>
      <x v="8"/>
    </i>
    <i>
      <x v="9"/>
    </i>
    <i>
      <x v="10"/>
    </i>
    <i>
      <x v="11"/>
    </i>
    <i>
      <x v="12"/>
    </i>
    <i>
      <x v="13"/>
    </i>
    <i>
      <x v="14"/>
    </i>
    <i>
      <x v="15"/>
    </i>
    <i>
      <x v="16"/>
    </i>
    <i>
      <x v="17"/>
    </i>
    <i>
      <x v="19"/>
    </i>
    <i>
      <x v="20"/>
    </i>
    <i>
      <x v="21"/>
    </i>
    <i>
      <x v="22"/>
    </i>
    <i>
      <x v="23"/>
    </i>
    <i>
      <x v="24"/>
    </i>
    <i>
      <x v="25"/>
    </i>
    <i>
      <x v="26"/>
    </i>
    <i>
      <x v="27"/>
    </i>
    <i t="grand">
      <x/>
    </i>
  </rowItems>
  <colItems count="1">
    <i/>
  </colItems>
  <pageFields count="1">
    <pageField fld="9" hier="-1"/>
  </pageFields>
  <dataFields count="1">
    <dataField name="Count of Buyer Invoice ID" fld="46"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B3B8BB63-33A5-4547-9C37-465B7B98B684}" sourceName="MONTH">
  <pivotTables>
    <pivotTable tabId="5" name="PivotTable6"/>
  </pivotTables>
  <data>
    <tabular pivotCacheId="1242686785">
      <items count="7">
        <i x="0" s="1"/>
        <i x="1" s="1"/>
        <i x="2" s="1"/>
        <i x="3" s="1"/>
        <i x="4" s="1"/>
        <i x="5"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_Delivery_State" xr10:uid="{52B31EB7-8E64-4ADE-9372-C5CE05561B00}" sourceName="Customer's Delivery State">
  <pivotTables>
    <pivotTable tabId="5" name="PivotTable6"/>
  </pivotTables>
  <data>
    <tabular pivotCacheId="1242686785">
      <items count="28">
        <i x="13" s="1"/>
        <i x="18" s="1"/>
        <i x="5" s="1"/>
        <i x="20" s="1"/>
        <i x="6" s="1"/>
        <i x="23" s="1"/>
        <i x="21" s="1"/>
        <i x="11" s="1"/>
        <i x="22" s="1"/>
        <i x="24" s="1"/>
        <i x="8" s="1"/>
        <i x="7" s="1"/>
        <i x="0" s="1"/>
        <i x="12" s="1"/>
        <i x="16" s="1"/>
        <i x="3" s="1"/>
        <i x="25" s="1"/>
        <i x="15" s="1"/>
        <i x="26" s="1"/>
        <i x="1" s="1"/>
        <i x="17" s="1"/>
        <i x="19" s="1"/>
        <i x="4" s="1"/>
        <i x="14" s="1"/>
        <i x="10" s="1"/>
        <i x="2" s="1"/>
        <i x="9" s="1"/>
        <i x="27"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B1693275-0E76-4580-B6ED-A5BBF8E3A7D6}" sourceName="City">
  <pivotTables>
    <pivotTable tabId="5" name="PivotTable6"/>
  </pivotTables>
  <data>
    <tabular pivotCacheId="1242686785">
      <items count="75">
        <i x="48" s="1"/>
        <i x="14" s="1"/>
        <i x="52" s="1"/>
        <i x="71" s="1"/>
        <i x="63" s="1"/>
        <i x="49" s="1"/>
        <i x="27" s="1"/>
        <i x="59" s="1"/>
        <i x="0" s="1"/>
        <i x="24" s="1"/>
        <i x="40" s="1"/>
        <i x="32" s="1"/>
        <i x="1" s="1"/>
        <i x="46" s="1"/>
        <i x="54" s="1"/>
        <i x="72" s="1"/>
        <i x="7" s="1"/>
        <i x="4" s="1"/>
        <i x="53" s="1"/>
        <i x="23" s="1"/>
        <i x="2" s="1"/>
        <i x="13" s="1"/>
        <i x="20" s="1"/>
        <i x="43" s="1"/>
        <i x="30" s="1"/>
        <i x="6" s="1"/>
        <i x="62" s="1"/>
        <i x="44" s="1"/>
        <i x="60" s="1"/>
        <i x="34" s="1"/>
        <i x="35" s="1"/>
        <i x="45" s="1"/>
        <i x="11" s="1"/>
        <i x="70" s="1"/>
        <i x="61" s="1"/>
        <i x="36" s="1"/>
        <i x="19" s="1"/>
        <i x="51" s="1"/>
        <i x="12" s="1"/>
        <i x="50" s="1"/>
        <i x="39" s="1"/>
        <i x="28" s="1"/>
        <i x="64" s="1"/>
        <i x="17" s="1"/>
        <i x="26" s="1"/>
        <i x="21" s="1"/>
        <i x="33" s="1"/>
        <i x="10" s="1"/>
        <i x="42" s="1"/>
        <i x="41" s="1"/>
        <i x="25" s="1"/>
        <i x="56" s="1"/>
        <i x="55" s="1"/>
        <i x="57" s="1"/>
        <i x="3" s="1"/>
        <i x="16" s="1"/>
        <i x="8" s="1"/>
        <i x="15" s="1"/>
        <i x="74" s="1"/>
        <i x="31" s="1"/>
        <i x="58" s="1"/>
        <i x="9" s="1"/>
        <i x="29" s="1"/>
        <i x="5" s="1"/>
        <i x="66" s="1"/>
        <i x="69" s="1"/>
        <i x="37" s="1"/>
        <i x="38" s="1"/>
        <i x="18" s="1"/>
        <i x="68" s="1"/>
        <i x="47" s="1"/>
        <i x="65" s="1"/>
        <i x="22" s="1"/>
        <i x="73" s="1"/>
        <i x="6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040465CB-E245-4D2F-8491-AA4BC35A5594}" cache="Slicer_MONTH" caption="MONTH" rowHeight="234950"/>
  <slicer name="Customer's Delivery State" xr10:uid="{8DA18332-2045-4A45-BD49-C4D15705FC41}" cache="Slicer_Customer_s_Delivery_State" caption="Customer's Delivery State" startItem="10" rowHeight="234950"/>
  <slicer name="City" xr10:uid="{EB5C6676-64B0-4A38-B919-BC842FC7F237}" cache="Slicer_City" caption="City" startItem="45"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7C5FE02-2D72-4F09-80A8-492005522D8D}" name="Table2" displayName="Table2" ref="A1:BM161" totalsRowShown="0" headerRowDxfId="1" dataCellStyle="Normal 2">
  <autoFilter ref="A1:BM161" xr:uid="{BE49F7BB-51C7-41C1-9AA9-25B6AA5869EE}"/>
  <tableColumns count="65">
    <tableColumn id="1" xr3:uid="{2A09C38E-E7F1-4D36-8B07-6FEFCDA36838}" name="Seller GSTIN" dataCellStyle="Normal 2"/>
    <tableColumn id="2" xr3:uid="{1FFA798A-2F65-401A-95F3-C24A3C2CD58C}" name="Order ID" dataCellStyle="Normal 2"/>
    <tableColumn id="3" xr3:uid="{C09A0A2B-4785-4270-B52B-D56A9582E53B}" name="Order Item ID" dataCellStyle="Normal 2"/>
    <tableColumn id="4" xr3:uid="{E94D82A0-4FC1-41C1-8ADD-C978104B14E1}" name="Product Title/Description" dataCellStyle="Normal 2"/>
    <tableColumn id="5" xr3:uid="{3B7B662B-1CBF-4359-92B9-6BAFF0B7CDD3}" name="FSN" dataCellStyle="Normal 2"/>
    <tableColumn id="6" xr3:uid="{1383D0F9-E594-4B16-83A4-14C2B139AA3E}" name="Column1" dataCellStyle="Normal 2"/>
    <tableColumn id="7" xr3:uid="{706393AF-64FB-4C50-99FB-603642AC0F0B}" name="SKU">
      <calculatedColumnFormula>MID(F2,8,LEN(F2)-10)</calculatedColumnFormula>
    </tableColumn>
    <tableColumn id="8" xr3:uid="{2B6B88FF-B162-4057-BE7A-C2B18BDE99FC}" name="HSN Code" dataCellStyle="Normal 2"/>
    <tableColumn id="9" xr3:uid="{F349FE61-1578-47B3-8D94-3297AC5B6CAA}" name="Event Type" dataCellStyle="Normal 2"/>
    <tableColumn id="10" xr3:uid="{CCCB7B10-CEE0-476F-BF6A-1899928C998B}" name="Event Sub Type" dataCellStyle="Normal 2"/>
    <tableColumn id="11" xr3:uid="{1F7B9197-4405-46B3-B2B3-82BAAB3266BC}" name="Order Type" dataCellStyle="Normal 2"/>
    <tableColumn id="12" xr3:uid="{D6CCAF50-ADCA-4681-AE40-E113934CB089}" name="Fulfilment Type" dataCellStyle="Normal 2"/>
    <tableColumn id="13" xr3:uid="{8BB947D1-F0F2-4273-A718-A75845809E01}" name="Order Date" dataCellStyle="Normal 2"/>
    <tableColumn id="14" xr3:uid="{99EC0C94-BB6F-4591-9B57-CA40CF3519CA}" name="MONTH">
      <calculatedColumnFormula>TEXT(M2,"mmmm")</calculatedColumnFormula>
    </tableColumn>
    <tableColumn id="15" xr3:uid="{0860CD17-65BE-4CCE-89AC-4D4CFE2B384D}" name="Order Approval Date" dataCellStyle="Normal 2"/>
    <tableColumn id="16" xr3:uid="{112F07F0-AB60-4BC0-B6C7-B5C8E65832BC}" name="Item Quantity" dataCellStyle="Normal 2"/>
    <tableColumn id="17" xr3:uid="{90585220-87B2-4748-A803-0FD1A45D8AEF}" name="Order Shipped From (State)" dataCellStyle="Normal 2"/>
    <tableColumn id="18" xr3:uid="{23704E6E-F95B-404A-84E9-91D2449EC8CD}" name="Warehouse ID" dataCellStyle="Normal 2"/>
    <tableColumn id="19" xr3:uid="{96517B0E-D98C-4E12-B48B-22C8CA3CFFDB}" name="Price before discount" dataCellStyle="Normal 2"/>
    <tableColumn id="20" xr3:uid="{70050DC0-3C08-451D-8547-1C62ECC77A80}" name="Total Discount" dataCellStyle="Normal 2"/>
    <tableColumn id="21" xr3:uid="{DCB059E8-16A5-4C39-B42E-8C99C395381D}" name="Seller Share" dataCellStyle="Normal 2"/>
    <tableColumn id="22" xr3:uid="{061F2827-D9B1-47E5-B4FF-DAF1B09829A6}" name="Bank Offer Share" dataCellStyle="Normal 2"/>
    <tableColumn id="23" xr3:uid="{90F56D45-28FA-4636-A3D2-DE64F382869F}" name="Price after discount (Price before discount-Total discount)" dataCellStyle="Normal 2"/>
    <tableColumn id="24" xr3:uid="{23A04378-A0ED-4E48-852B-4EC7B178499B}" name="Shipping Charges" dataCellStyle="Normal 2"/>
    <tableColumn id="25" xr3:uid="{38BC6147-1C1A-4912-BAB4-4191CBC68A23}" name="Final Invoice Amount (Price after discount+Shipping Charges)" dataCellStyle="Normal 2"/>
    <tableColumn id="26" xr3:uid="{1F8EB15B-B965-4B07-9E5A-1BB07F92B407}" name="Type of tax" dataCellStyle="Normal 2"/>
    <tableColumn id="27" xr3:uid="{07C1DD11-4E0B-4CA5-9E0D-1AE1B25A9591}" name="Taxable Value (Final Invoice Amount -Taxes)" dataCellStyle="Normal 2"/>
    <tableColumn id="28" xr3:uid="{BF11D7D6-D582-4C51-8BC3-E1746114CDFF}" name="CST Rate" dataCellStyle="Normal 2"/>
    <tableColumn id="29" xr3:uid="{30C9C514-BE3C-459F-972C-33E16F74AF0A}" name="CST Amount" dataCellStyle="Normal 2"/>
    <tableColumn id="30" xr3:uid="{3BAA54C0-3857-4E4E-BF7C-D79E6FCFB8FF}" name="VAT Rate" dataCellStyle="Normal 2"/>
    <tableColumn id="31" xr3:uid="{C0976269-572B-4830-84FA-DCB4728B2C21}" name="VAT Amount" dataCellStyle="Normal 2"/>
    <tableColumn id="32" xr3:uid="{EA7AC636-2367-4E6E-87E1-035E7B85FDD0}" name="Luxury Cess Rate" dataCellStyle="Normal 2"/>
    <tableColumn id="33" xr3:uid="{46F2AB12-7A29-4875-8FDA-1D9FCEA16DC0}" name="Luxury Cess Amount" dataCellStyle="Normal 2"/>
    <tableColumn id="34" xr3:uid="{445F76EA-21E3-470C-A093-78ED1EF07A96}" name="IGST Rate" dataCellStyle="Normal 2"/>
    <tableColumn id="35" xr3:uid="{6FC3FA7C-C986-47B4-B55D-D5599C4C8ED1}" name="IGST Amount" dataCellStyle="Normal 2"/>
    <tableColumn id="36" xr3:uid="{1AB551A2-304D-4EDE-9DA6-5BC75BC99E73}" name="CGST Rate" dataCellStyle="Normal 2"/>
    <tableColumn id="37" xr3:uid="{9A85BB91-CD32-44F6-856D-7D98BE64B7AB}" name="CGST Amount" dataCellStyle="Normal 2"/>
    <tableColumn id="38" xr3:uid="{68088AE7-2776-431A-BFB4-CF55BEBFE6B8}" name="SGST Rate (or UTGST as applicable)" dataCellStyle="Normal 2"/>
    <tableColumn id="39" xr3:uid="{B92A8984-5739-4D42-8E57-2BC17F4F5753}" name="SGST Amount (Or UTGST as applicable)" dataCellStyle="Normal 2"/>
    <tableColumn id="40" xr3:uid="{36E315F2-5C66-451F-A5D9-4FB9401CEAEF}" name="TCS IGST Rate" dataCellStyle="Normal 2"/>
    <tableColumn id="41" xr3:uid="{8488CC74-8978-4055-A7CB-D8EBCE39213E}" name="TCS IGST Amount" dataCellStyle="Normal 2"/>
    <tableColumn id="42" xr3:uid="{55DA588F-B191-43D9-8CC7-DA6A986E4FC2}" name="TCS CGST Rate" dataCellStyle="Normal 2"/>
    <tableColumn id="43" xr3:uid="{5EDC6090-9EE6-448A-A639-2B14E3F5C925}" name="TCS CGST Amount" dataCellStyle="Normal 2"/>
    <tableColumn id="44" xr3:uid="{7EB46135-349C-4805-9823-E8FD8094C96C}" name="TCS SGST Rate" dataCellStyle="Normal 2"/>
    <tableColumn id="45" xr3:uid="{F654064B-0476-48CF-9232-2013E3B16DC7}" name="TCS SGST Amount" dataCellStyle="Normal 2"/>
    <tableColumn id="46" xr3:uid="{6CD7CEC2-7ED3-4C4D-9FAE-8BB68C2543FA}" name="Total TCS Deducted" dataCellStyle="Normal 2"/>
    <tableColumn id="47" xr3:uid="{CB2BCA04-A0AF-449D-A383-729F057E86F4}" name="Buyer Invoice ID" dataCellStyle="Normal 2"/>
    <tableColumn id="48" xr3:uid="{48223173-2696-40B6-A703-30EB262C5A6C}" name="Buyer Invoice Date" dataCellStyle="Normal 2"/>
    <tableColumn id="49" xr3:uid="{7DB42C27-ABB4-4D13-BDB0-5BF0457360B2}" name="Buyer Invoice Amount" dataCellStyle="Normal 2"/>
    <tableColumn id="50" xr3:uid="{018BC3A4-34A7-4A12-8B5D-541C261EB57C}" name="Customer's Billing Pincode" dataCellStyle="Normal 2"/>
    <tableColumn id="51" xr3:uid="{AEC3091E-7EDC-4CF5-9DCB-00FB6CA67F8F}" name="Customer's Billing State" dataCellStyle="Normal 2"/>
    <tableColumn id="52" xr3:uid="{2D343005-3184-4971-9136-92B8663637EF}" name="Customer's Delivery Pincode" dataCellStyle="Normal 2"/>
    <tableColumn id="53" xr3:uid="{AFC316CA-AA32-49BF-BEAB-17B48CF3B64D}" name="Column2" dataCellStyle="Normal 2"/>
    <tableColumn id="54" xr3:uid="{AEA9D0E0-4FE3-49CB-9D95-66D0E49242EA}" name="City" dataDxfId="0">
      <calculatedColumnFormula>MID(BA2,9,LEN(BA2))</calculatedColumnFormula>
    </tableColumn>
    <tableColumn id="55" xr3:uid="{D31F683F-6569-4464-A67F-8333AC8DBA43}" name="Customer's Delivery State" dataCellStyle="Normal 2"/>
    <tableColumn id="56" xr3:uid="{56721AC7-3032-4BD9-894F-1250AEE34D12}" name="Usual Price" dataCellStyle="Normal 2"/>
    <tableColumn id="57" xr3:uid="{9A0954A6-073C-4833-93EF-171158C9B687}" name="Is Shopsy Order?" dataCellStyle="Normal 2"/>
    <tableColumn id="58" xr3:uid="{3B9F5DE1-4F0D-4849-91AD-1CFD5EC9EEA4}" name="TDS Rate" dataCellStyle="Normal 2"/>
    <tableColumn id="59" xr3:uid="{D2626513-4133-4A25-84DD-D7CA5CE647C9}" name="TDS Amount" dataCellStyle="Normal 2"/>
    <tableColumn id="60" xr3:uid="{DD949A55-CFE0-4763-B733-569C96E48D23}" name="IRN" dataCellStyle="Normal 2"/>
    <tableColumn id="61" xr3:uid="{DA3A6237-9D81-4D91-851C-B087F34028F3}" name="Business Name" dataCellStyle="Normal 2"/>
    <tableColumn id="62" xr3:uid="{CC85CBAF-9941-412B-B4DE-D3667C2EAF7B}" name="Business GST Number" dataCellStyle="Normal 2"/>
    <tableColumn id="63" xr3:uid="{36ACBFC8-F016-4CCA-9BAC-D6C582F67531}" name="Beneficiary Name" dataCellStyle="Normal 2"/>
    <tableColumn id="64" xr3:uid="{B5425B1A-D502-4787-912E-3792761B2A26}" name="IMEI" dataCellStyle="Normal 2"/>
    <tableColumn id="65" xr3:uid="{57428EC0-15FB-443D-ADC4-C4D467B28149}" name="Product Sourcing Cost" dataCellStyle="Normal 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4C304D-C998-440A-A14B-CB093C10A640}">
  <dimension ref="A3:A56"/>
  <sheetViews>
    <sheetView workbookViewId="0">
      <selection activeCell="D32" sqref="D32"/>
    </sheetView>
  </sheetViews>
  <sheetFormatPr defaultRowHeight="14.4"/>
  <cols>
    <col min="1" max="1" width="30.21875" bestFit="1" customWidth="1"/>
  </cols>
  <sheetData>
    <row r="3" spans="1:1">
      <c r="A3" s="14" t="s">
        <v>1435</v>
      </c>
    </row>
    <row r="4" spans="1:1">
      <c r="A4" s="15" t="s">
        <v>1449</v>
      </c>
    </row>
    <row r="5" spans="1:1">
      <c r="A5" s="15" t="s">
        <v>1450</v>
      </c>
    </row>
    <row r="6" spans="1:1">
      <c r="A6" s="15" t="s">
        <v>1451</v>
      </c>
    </row>
    <row r="7" spans="1:1">
      <c r="A7" s="15" t="s">
        <v>1452</v>
      </c>
    </row>
    <row r="8" spans="1:1">
      <c r="A8" s="15" t="s">
        <v>1453</v>
      </c>
    </row>
    <row r="9" spans="1:1">
      <c r="A9" s="15" t="s">
        <v>1454</v>
      </c>
    </row>
    <row r="10" spans="1:1">
      <c r="A10" s="15" t="s">
        <v>1455</v>
      </c>
    </row>
    <row r="11" spans="1:1">
      <c r="A11" s="15" t="s">
        <v>1456</v>
      </c>
    </row>
    <row r="12" spans="1:1">
      <c r="A12" s="15" t="s">
        <v>1457</v>
      </c>
    </row>
    <row r="13" spans="1:1">
      <c r="A13" s="15" t="s">
        <v>1458</v>
      </c>
    </row>
    <row r="14" spans="1:1">
      <c r="A14" s="15" t="s">
        <v>1459</v>
      </c>
    </row>
    <row r="15" spans="1:1">
      <c r="A15" s="15" t="s">
        <v>1460</v>
      </c>
    </row>
    <row r="16" spans="1:1">
      <c r="A16" s="15" t="s">
        <v>1461</v>
      </c>
    </row>
    <row r="17" spans="1:1">
      <c r="A17" s="15" t="s">
        <v>1462</v>
      </c>
    </row>
    <row r="18" spans="1:1">
      <c r="A18" s="15" t="s">
        <v>1463</v>
      </c>
    </row>
    <row r="19" spans="1:1">
      <c r="A19" s="15" t="s">
        <v>1464</v>
      </c>
    </row>
    <row r="20" spans="1:1">
      <c r="A20" s="15" t="s">
        <v>1465</v>
      </c>
    </row>
    <row r="21" spans="1:1">
      <c r="A21" s="15" t="s">
        <v>1466</v>
      </c>
    </row>
    <row r="22" spans="1:1">
      <c r="A22" s="15" t="s">
        <v>1467</v>
      </c>
    </row>
    <row r="23" spans="1:1">
      <c r="A23" s="15" t="s">
        <v>1468</v>
      </c>
    </row>
    <row r="24" spans="1:1">
      <c r="A24" s="15" t="s">
        <v>1469</v>
      </c>
    </row>
    <row r="25" spans="1:1">
      <c r="A25" s="15" t="s">
        <v>1470</v>
      </c>
    </row>
    <row r="26" spans="1:1">
      <c r="A26" s="15" t="s">
        <v>1471</v>
      </c>
    </row>
    <row r="27" spans="1:1">
      <c r="A27" s="15" t="s">
        <v>1472</v>
      </c>
    </row>
    <row r="28" spans="1:1">
      <c r="A28" s="15" t="s">
        <v>1473</v>
      </c>
    </row>
    <row r="29" spans="1:1">
      <c r="A29" s="15" t="s">
        <v>1474</v>
      </c>
    </row>
    <row r="30" spans="1:1">
      <c r="A30" s="15" t="s">
        <v>1475</v>
      </c>
    </row>
    <row r="31" spans="1:1">
      <c r="A31" s="15" t="s">
        <v>1476</v>
      </c>
    </row>
    <row r="32" spans="1:1">
      <c r="A32" s="15" t="s">
        <v>1477</v>
      </c>
    </row>
    <row r="33" spans="1:1">
      <c r="A33" s="15" t="s">
        <v>1478</v>
      </c>
    </row>
    <row r="34" spans="1:1">
      <c r="A34" s="15" t="s">
        <v>1479</v>
      </c>
    </row>
    <row r="35" spans="1:1">
      <c r="A35" s="15" t="s">
        <v>1480</v>
      </c>
    </row>
    <row r="36" spans="1:1">
      <c r="A36" s="15" t="s">
        <v>1481</v>
      </c>
    </row>
    <row r="37" spans="1:1">
      <c r="A37" s="15" t="s">
        <v>1482</v>
      </c>
    </row>
    <row r="38" spans="1:1">
      <c r="A38" s="15" t="s">
        <v>1483</v>
      </c>
    </row>
    <row r="39" spans="1:1">
      <c r="A39" s="15" t="s">
        <v>1484</v>
      </c>
    </row>
    <row r="40" spans="1:1">
      <c r="A40" s="15" t="s">
        <v>1485</v>
      </c>
    </row>
    <row r="41" spans="1:1">
      <c r="A41" s="15" t="s">
        <v>1486</v>
      </c>
    </row>
    <row r="42" spans="1:1">
      <c r="A42" s="15" t="s">
        <v>1487</v>
      </c>
    </row>
    <row r="43" spans="1:1">
      <c r="A43" s="15" t="s">
        <v>1488</v>
      </c>
    </row>
    <row r="44" spans="1:1">
      <c r="A44" s="15" t="s">
        <v>1489</v>
      </c>
    </row>
    <row r="45" spans="1:1">
      <c r="A45" s="15" t="s">
        <v>1490</v>
      </c>
    </row>
    <row r="46" spans="1:1">
      <c r="A46" s="15" t="s">
        <v>1491</v>
      </c>
    </row>
    <row r="47" spans="1:1">
      <c r="A47" s="15" t="s">
        <v>1492</v>
      </c>
    </row>
    <row r="48" spans="1:1">
      <c r="A48" s="15" t="s">
        <v>1493</v>
      </c>
    </row>
    <row r="49" spans="1:1">
      <c r="A49" s="15" t="s">
        <v>1494</v>
      </c>
    </row>
    <row r="50" spans="1:1">
      <c r="A50" s="15" t="s">
        <v>1495</v>
      </c>
    </row>
    <row r="51" spans="1:1">
      <c r="A51" s="15" t="s">
        <v>1496</v>
      </c>
    </row>
    <row r="52" spans="1:1">
      <c r="A52" s="15" t="s">
        <v>1497</v>
      </c>
    </row>
    <row r="53" spans="1:1">
      <c r="A53" s="15" t="s">
        <v>1498</v>
      </c>
    </row>
    <row r="54" spans="1:1">
      <c r="A54" s="15" t="s">
        <v>1499</v>
      </c>
    </row>
    <row r="55" spans="1:1">
      <c r="A55" s="15" t="s">
        <v>1500</v>
      </c>
    </row>
    <row r="56" spans="1:1">
      <c r="A56" s="15" t="s">
        <v>1437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87E07-A3A6-4228-B7E0-4D8AE5507C7D}">
  <dimension ref="A1:BM164"/>
  <sheetViews>
    <sheetView topLeftCell="A2" workbookViewId="0">
      <selection activeCell="I17" sqref="I17"/>
    </sheetView>
  </sheetViews>
  <sheetFormatPr defaultRowHeight="14.4"/>
  <cols>
    <col min="1" max="1" width="13.88671875" customWidth="1"/>
    <col min="2" max="2" width="10.33203125" customWidth="1"/>
    <col min="3" max="3" width="14.5546875" customWidth="1"/>
    <col min="4" max="4" width="24.6640625" customWidth="1"/>
    <col min="6" max="6" width="10.5546875" customWidth="1"/>
    <col min="8" max="8" width="11.88671875" customWidth="1"/>
    <col min="9" max="9" width="12.6640625" customWidth="1"/>
    <col min="10" max="10" width="16.6640625" customWidth="1"/>
    <col min="11" max="11" width="12.77734375" customWidth="1"/>
    <col min="12" max="12" width="16.109375" customWidth="1"/>
    <col min="13" max="13" width="12.5546875" customWidth="1"/>
    <col min="14" max="14" width="9.5546875" customWidth="1"/>
    <col min="15" max="15" width="20.88671875" customWidth="1"/>
    <col min="16" max="16" width="14.5546875" customWidth="1"/>
    <col min="17" max="17" width="27.21875" customWidth="1"/>
    <col min="18" max="18" width="15.21875" customWidth="1"/>
    <col min="19" max="19" width="21.5546875" customWidth="1"/>
    <col min="20" max="20" width="15.5546875" customWidth="1"/>
    <col min="21" max="21" width="13.44140625" customWidth="1"/>
    <col min="22" max="22" width="17.88671875" customWidth="1"/>
    <col min="23" max="23" width="53.6640625" customWidth="1"/>
    <col min="24" max="24" width="18.44140625" customWidth="1"/>
    <col min="25" max="25" width="56.6640625" customWidth="1"/>
    <col min="26" max="26" width="12.5546875" customWidth="1"/>
    <col min="27" max="27" width="41.21875" customWidth="1"/>
    <col min="28" max="28" width="11.109375" customWidth="1"/>
    <col min="29" max="29" width="13.88671875" customWidth="1"/>
    <col min="30" max="30" width="11" customWidth="1"/>
    <col min="31" max="31" width="13.77734375" customWidth="1"/>
    <col min="32" max="32" width="18.44140625" customWidth="1"/>
    <col min="33" max="33" width="21.21875" customWidth="1"/>
    <col min="34" max="34" width="11.6640625" customWidth="1"/>
    <col min="35" max="35" width="14.44140625" customWidth="1"/>
    <col min="36" max="36" width="12.5546875" customWidth="1"/>
    <col min="37" max="37" width="15.33203125" customWidth="1"/>
    <col min="38" max="38" width="34.77734375" customWidth="1"/>
    <col min="39" max="39" width="37.88671875" customWidth="1"/>
    <col min="40" max="40" width="15.88671875" customWidth="1"/>
    <col min="41" max="41" width="18.6640625" customWidth="1"/>
    <col min="42" max="42" width="16.77734375" customWidth="1"/>
    <col min="43" max="43" width="19.5546875" customWidth="1"/>
    <col min="44" max="44" width="16.6640625" customWidth="1"/>
    <col min="45" max="45" width="19.44140625" customWidth="1"/>
    <col min="46" max="46" width="20.33203125" customWidth="1"/>
    <col min="47" max="47" width="17.109375" customWidth="1"/>
    <col min="48" max="48" width="19.33203125" customWidth="1"/>
    <col min="49" max="49" width="22.109375" customWidth="1"/>
    <col min="50" max="50" width="26.33203125" customWidth="1"/>
    <col min="51" max="51" width="23.88671875" customWidth="1"/>
    <col min="52" max="52" width="28" customWidth="1"/>
    <col min="53" max="53" width="20.109375" bestFit="1" customWidth="1"/>
    <col min="54" max="54" width="14" bestFit="1" customWidth="1"/>
    <col min="55" max="55" width="25.5546875" customWidth="1"/>
    <col min="56" max="56" width="12.77734375" customWidth="1"/>
    <col min="57" max="57" width="18.21875" customWidth="1"/>
    <col min="58" max="58" width="11.109375" customWidth="1"/>
    <col min="59" max="59" width="13.88671875" customWidth="1"/>
    <col min="61" max="61" width="16.33203125" customWidth="1"/>
    <col min="62" max="62" width="22.6640625" customWidth="1"/>
    <col min="63" max="63" width="18" customWidth="1"/>
    <col min="65" max="65" width="23.6640625" bestFit="1" customWidth="1"/>
  </cols>
  <sheetData>
    <row r="1" spans="1:65" s="9" customFormat="1">
      <c r="A1" s="3" t="s">
        <v>0</v>
      </c>
      <c r="B1" s="3" t="s">
        <v>1</v>
      </c>
      <c r="C1" s="3" t="s">
        <v>2</v>
      </c>
      <c r="D1" s="3" t="s">
        <v>3</v>
      </c>
      <c r="E1" s="3" t="s">
        <v>4</v>
      </c>
      <c r="F1" s="3" t="s">
        <v>1433</v>
      </c>
      <c r="G1" s="3" t="s">
        <v>5</v>
      </c>
      <c r="H1" s="3" t="s">
        <v>6</v>
      </c>
      <c r="I1" s="3" t="s">
        <v>7</v>
      </c>
      <c r="J1" s="3" t="s">
        <v>8</v>
      </c>
      <c r="K1" s="3" t="s">
        <v>9</v>
      </c>
      <c r="L1" s="3" t="s">
        <v>10</v>
      </c>
      <c r="M1" s="3" t="s">
        <v>11</v>
      </c>
      <c r="N1" s="3" t="s">
        <v>1291</v>
      </c>
      <c r="O1" s="3" t="s">
        <v>12</v>
      </c>
      <c r="P1" s="3" t="s">
        <v>13</v>
      </c>
      <c r="Q1" s="3" t="s">
        <v>14</v>
      </c>
      <c r="R1" s="3" t="s">
        <v>15</v>
      </c>
      <c r="S1" s="3" t="s">
        <v>16</v>
      </c>
      <c r="T1" s="3" t="s">
        <v>17</v>
      </c>
      <c r="U1" s="3" t="s">
        <v>18</v>
      </c>
      <c r="V1" s="3" t="s">
        <v>19</v>
      </c>
      <c r="W1" s="3" t="s">
        <v>20</v>
      </c>
      <c r="X1" s="3" t="s">
        <v>21</v>
      </c>
      <c r="Y1" s="8" t="s">
        <v>22</v>
      </c>
      <c r="Z1" s="8" t="s">
        <v>23</v>
      </c>
      <c r="AA1" s="8" t="s">
        <v>24</v>
      </c>
      <c r="AB1" s="8" t="s">
        <v>25</v>
      </c>
      <c r="AC1" s="8" t="s">
        <v>26</v>
      </c>
      <c r="AD1" s="8" t="s">
        <v>27</v>
      </c>
      <c r="AE1" s="8" t="s">
        <v>28</v>
      </c>
      <c r="AF1" s="8" t="s">
        <v>29</v>
      </c>
      <c r="AG1" s="8" t="s">
        <v>30</v>
      </c>
      <c r="AH1" s="8" t="s">
        <v>31</v>
      </c>
      <c r="AI1" s="8" t="s">
        <v>32</v>
      </c>
      <c r="AJ1" s="8" t="s">
        <v>33</v>
      </c>
      <c r="AK1" s="8" t="s">
        <v>34</v>
      </c>
      <c r="AL1" s="8" t="s">
        <v>35</v>
      </c>
      <c r="AM1" s="8" t="s">
        <v>36</v>
      </c>
      <c r="AN1" s="8" t="s">
        <v>37</v>
      </c>
      <c r="AO1" s="8" t="s">
        <v>38</v>
      </c>
      <c r="AP1" s="8" t="s">
        <v>39</v>
      </c>
      <c r="AQ1" s="8" t="s">
        <v>40</v>
      </c>
      <c r="AR1" s="8" t="s">
        <v>41</v>
      </c>
      <c r="AS1" s="8" t="s">
        <v>42</v>
      </c>
      <c r="AT1" s="8" t="s">
        <v>43</v>
      </c>
      <c r="AU1" s="3" t="s">
        <v>44</v>
      </c>
      <c r="AV1" s="3" t="s">
        <v>45</v>
      </c>
      <c r="AW1" s="3" t="s">
        <v>46</v>
      </c>
      <c r="AX1" s="3" t="s">
        <v>47</v>
      </c>
      <c r="AY1" s="3" t="s">
        <v>48</v>
      </c>
      <c r="AZ1" s="3" t="s">
        <v>49</v>
      </c>
      <c r="BA1" s="3" t="s">
        <v>1434</v>
      </c>
      <c r="BB1" s="3" t="s">
        <v>1292</v>
      </c>
      <c r="BC1" s="3" t="s">
        <v>50</v>
      </c>
      <c r="BD1" s="3" t="s">
        <v>51</v>
      </c>
      <c r="BE1" s="3" t="s">
        <v>52</v>
      </c>
      <c r="BF1" s="3" t="s">
        <v>53</v>
      </c>
      <c r="BG1" s="3" t="s">
        <v>54</v>
      </c>
      <c r="BH1" s="3" t="s">
        <v>55</v>
      </c>
      <c r="BI1" s="3" t="s">
        <v>56</v>
      </c>
      <c r="BJ1" s="3" t="s">
        <v>57</v>
      </c>
      <c r="BK1" s="3" t="s">
        <v>58</v>
      </c>
      <c r="BL1" s="3" t="s">
        <v>59</v>
      </c>
      <c r="BM1" s="3" t="s">
        <v>1510</v>
      </c>
    </row>
    <row r="2" spans="1:65">
      <c r="A2" t="s">
        <v>60</v>
      </c>
      <c r="B2" t="s">
        <v>61</v>
      </c>
      <c r="C2" t="s">
        <v>62</v>
      </c>
      <c r="D2" t="s">
        <v>63</v>
      </c>
      <c r="E2" t="s">
        <v>64</v>
      </c>
      <c r="F2" t="s">
        <v>65</v>
      </c>
      <c r="G2" t="str">
        <f>MID(F2,8,LEN(F2)-10)</f>
        <v>CANT-ME</v>
      </c>
      <c r="H2" t="s">
        <v>66</v>
      </c>
      <c r="I2" t="s">
        <v>67</v>
      </c>
      <c r="J2" t="s">
        <v>67</v>
      </c>
      <c r="K2" t="s">
        <v>68</v>
      </c>
      <c r="L2" t="s">
        <v>69</v>
      </c>
      <c r="M2" t="s">
        <v>70</v>
      </c>
      <c r="N2" t="str">
        <f>TEXT(M2,"mmmm")</f>
        <v>June</v>
      </c>
      <c r="O2" t="s">
        <v>70</v>
      </c>
      <c r="P2" t="s">
        <v>71</v>
      </c>
      <c r="Q2" t="s">
        <v>72</v>
      </c>
      <c r="R2" t="s">
        <v>73</v>
      </c>
      <c r="S2" t="s">
        <v>74</v>
      </c>
      <c r="T2" t="s">
        <v>75</v>
      </c>
      <c r="U2" t="s">
        <v>75</v>
      </c>
      <c r="V2" t="s">
        <v>75</v>
      </c>
      <c r="W2" t="s">
        <v>74</v>
      </c>
      <c r="X2" t="s">
        <v>75</v>
      </c>
      <c r="Y2" t="s">
        <v>74</v>
      </c>
      <c r="Z2" t="s">
        <v>76</v>
      </c>
      <c r="AA2" t="s">
        <v>74</v>
      </c>
      <c r="AB2" t="s">
        <v>75</v>
      </c>
      <c r="AC2" t="s">
        <v>75</v>
      </c>
      <c r="AD2" t="s">
        <v>75</v>
      </c>
      <c r="AE2" t="s">
        <v>75</v>
      </c>
      <c r="AF2" t="s">
        <v>75</v>
      </c>
      <c r="AG2" t="s">
        <v>75</v>
      </c>
      <c r="AH2" t="s">
        <v>75</v>
      </c>
      <c r="AI2" t="s">
        <v>75</v>
      </c>
      <c r="AJ2" t="s">
        <v>75</v>
      </c>
      <c r="AK2" t="s">
        <v>75</v>
      </c>
      <c r="AL2" t="s">
        <v>75</v>
      </c>
      <c r="AM2" t="s">
        <v>75</v>
      </c>
      <c r="AN2" t="s">
        <v>75</v>
      </c>
      <c r="AO2" t="s">
        <v>75</v>
      </c>
      <c r="AP2" t="s">
        <v>75</v>
      </c>
      <c r="AQ2" t="s">
        <v>75</v>
      </c>
      <c r="AR2" t="s">
        <v>75</v>
      </c>
      <c r="AS2" t="s">
        <v>75</v>
      </c>
      <c r="AT2" t="s">
        <v>75</v>
      </c>
      <c r="AU2" t="s">
        <v>77</v>
      </c>
      <c r="AV2" t="s">
        <v>78</v>
      </c>
      <c r="AW2" t="s">
        <v>74</v>
      </c>
      <c r="AX2" t="s">
        <v>79</v>
      </c>
      <c r="AY2" t="s">
        <v>80</v>
      </c>
      <c r="AZ2" t="s">
        <v>79</v>
      </c>
      <c r="BA2" t="s">
        <v>1293</v>
      </c>
      <c r="BB2" s="13" t="str">
        <f>MID(BA2,9,LEN(BA2))</f>
        <v xml:space="preserve"> Belagavi</v>
      </c>
      <c r="BC2" t="s">
        <v>80</v>
      </c>
      <c r="BD2" t="s">
        <v>73</v>
      </c>
      <c r="BE2" t="s">
        <v>81</v>
      </c>
      <c r="BF2" t="s">
        <v>82</v>
      </c>
      <c r="BG2" t="s">
        <v>83</v>
      </c>
      <c r="BH2" t="s">
        <v>73</v>
      </c>
      <c r="BI2" t="s">
        <v>73</v>
      </c>
      <c r="BJ2" t="s">
        <v>73</v>
      </c>
      <c r="BK2" t="s">
        <v>84</v>
      </c>
      <c r="BL2" t="s">
        <v>73</v>
      </c>
      <c r="BM2" s="12">
        <v>78</v>
      </c>
    </row>
    <row r="3" spans="1:65">
      <c r="A3" t="s">
        <v>60</v>
      </c>
      <c r="B3" t="s">
        <v>85</v>
      </c>
      <c r="C3" t="s">
        <v>86</v>
      </c>
      <c r="D3" t="s">
        <v>87</v>
      </c>
      <c r="E3" t="s">
        <v>88</v>
      </c>
      <c r="F3" t="s">
        <v>89</v>
      </c>
      <c r="G3" t="str">
        <f t="shared" ref="G3:G66" si="0">MID(F3,8,LEN(F3)-10)</f>
        <v>ALCHEMIST01</v>
      </c>
      <c r="H3" t="s">
        <v>66</v>
      </c>
      <c r="I3" t="s">
        <v>67</v>
      </c>
      <c r="J3" t="s">
        <v>67</v>
      </c>
      <c r="K3" t="s">
        <v>68</v>
      </c>
      <c r="L3" t="s">
        <v>69</v>
      </c>
      <c r="M3" t="s">
        <v>90</v>
      </c>
      <c r="N3" t="str">
        <f t="shared" ref="N3:N66" si="1">TEXT(M3,"mmmm")</f>
        <v>June</v>
      </c>
      <c r="O3" t="s">
        <v>90</v>
      </c>
      <c r="P3" t="s">
        <v>71</v>
      </c>
      <c r="Q3" t="s">
        <v>72</v>
      </c>
      <c r="R3" t="s">
        <v>73</v>
      </c>
      <c r="S3" t="s">
        <v>91</v>
      </c>
      <c r="T3" t="s">
        <v>75</v>
      </c>
      <c r="U3" t="s">
        <v>75</v>
      </c>
      <c r="V3" t="s">
        <v>75</v>
      </c>
      <c r="W3" t="s">
        <v>91</v>
      </c>
      <c r="X3" t="s">
        <v>75</v>
      </c>
      <c r="Y3" t="s">
        <v>91</v>
      </c>
      <c r="Z3" t="s">
        <v>76</v>
      </c>
      <c r="AA3" t="s">
        <v>91</v>
      </c>
      <c r="AB3" t="s">
        <v>75</v>
      </c>
      <c r="AC3" t="s">
        <v>75</v>
      </c>
      <c r="AD3" t="s">
        <v>75</v>
      </c>
      <c r="AE3" t="s">
        <v>75</v>
      </c>
      <c r="AF3" t="s">
        <v>75</v>
      </c>
      <c r="AG3" t="s">
        <v>75</v>
      </c>
      <c r="AH3" t="s">
        <v>75</v>
      </c>
      <c r="AI3" t="s">
        <v>75</v>
      </c>
      <c r="AJ3" t="s">
        <v>75</v>
      </c>
      <c r="AK3" t="s">
        <v>75</v>
      </c>
      <c r="AL3" t="s">
        <v>75</v>
      </c>
      <c r="AM3" t="s">
        <v>75</v>
      </c>
      <c r="AN3" t="s">
        <v>75</v>
      </c>
      <c r="AO3" t="s">
        <v>75</v>
      </c>
      <c r="AP3" t="s">
        <v>75</v>
      </c>
      <c r="AQ3" t="s">
        <v>75</v>
      </c>
      <c r="AR3" t="s">
        <v>75</v>
      </c>
      <c r="AS3" t="s">
        <v>75</v>
      </c>
      <c r="AT3" t="s">
        <v>75</v>
      </c>
      <c r="AU3" t="s">
        <v>92</v>
      </c>
      <c r="AV3" t="s">
        <v>78</v>
      </c>
      <c r="AW3" t="s">
        <v>91</v>
      </c>
      <c r="AX3" t="s">
        <v>93</v>
      </c>
      <c r="AY3" t="s">
        <v>94</v>
      </c>
      <c r="AZ3" t="s">
        <v>93</v>
      </c>
      <c r="BA3" t="s">
        <v>1294</v>
      </c>
      <c r="BB3" s="13" t="str">
        <f t="shared" ref="BB3:BB66" si="2">MID(BA3,9,LEN(BA3))</f>
        <v xml:space="preserve"> Bhubaneswar</v>
      </c>
      <c r="BC3" t="s">
        <v>94</v>
      </c>
      <c r="BD3" t="s">
        <v>73</v>
      </c>
      <c r="BE3" t="s">
        <v>81</v>
      </c>
      <c r="BF3" t="s">
        <v>82</v>
      </c>
      <c r="BG3" t="s">
        <v>95</v>
      </c>
      <c r="BH3" t="s">
        <v>73</v>
      </c>
      <c r="BI3" t="s">
        <v>73</v>
      </c>
      <c r="BJ3" t="s">
        <v>73</v>
      </c>
      <c r="BK3" t="s">
        <v>96</v>
      </c>
      <c r="BL3" t="s">
        <v>73</v>
      </c>
      <c r="BM3" s="12">
        <v>85</v>
      </c>
    </row>
    <row r="4" spans="1:65">
      <c r="A4" t="s">
        <v>60</v>
      </c>
      <c r="B4" t="s">
        <v>97</v>
      </c>
      <c r="C4" t="s">
        <v>98</v>
      </c>
      <c r="D4" t="s">
        <v>99</v>
      </c>
      <c r="E4" t="s">
        <v>100</v>
      </c>
      <c r="F4" t="s">
        <v>101</v>
      </c>
      <c r="G4" t="str">
        <f t="shared" si="0"/>
        <v>PSYCH01</v>
      </c>
      <c r="H4" t="s">
        <v>66</v>
      </c>
      <c r="I4" t="s">
        <v>67</v>
      </c>
      <c r="J4" t="s">
        <v>67</v>
      </c>
      <c r="K4" t="s">
        <v>68</v>
      </c>
      <c r="L4" t="s">
        <v>69</v>
      </c>
      <c r="M4" t="s">
        <v>102</v>
      </c>
      <c r="N4" t="str">
        <f t="shared" si="1"/>
        <v>June</v>
      </c>
      <c r="O4" t="s">
        <v>102</v>
      </c>
      <c r="P4" t="s">
        <v>71</v>
      </c>
      <c r="Q4" t="s">
        <v>72</v>
      </c>
      <c r="R4" t="s">
        <v>73</v>
      </c>
      <c r="S4" t="s">
        <v>103</v>
      </c>
      <c r="T4" t="s">
        <v>75</v>
      </c>
      <c r="U4" t="s">
        <v>75</v>
      </c>
      <c r="V4" t="s">
        <v>75</v>
      </c>
      <c r="W4" t="s">
        <v>103</v>
      </c>
      <c r="X4" t="s">
        <v>75</v>
      </c>
      <c r="Y4" t="s">
        <v>103</v>
      </c>
      <c r="Z4" t="s">
        <v>76</v>
      </c>
      <c r="AA4" t="s">
        <v>103</v>
      </c>
      <c r="AB4" t="s">
        <v>75</v>
      </c>
      <c r="AC4" t="s">
        <v>75</v>
      </c>
      <c r="AD4" t="s">
        <v>75</v>
      </c>
      <c r="AE4" t="s">
        <v>75</v>
      </c>
      <c r="AF4" t="s">
        <v>75</v>
      </c>
      <c r="AG4" t="s">
        <v>75</v>
      </c>
      <c r="AH4" t="s">
        <v>75</v>
      </c>
      <c r="AI4" t="s">
        <v>75</v>
      </c>
      <c r="AJ4" t="s">
        <v>75</v>
      </c>
      <c r="AK4" t="s">
        <v>75</v>
      </c>
      <c r="AL4" t="s">
        <v>75</v>
      </c>
      <c r="AM4" t="s">
        <v>75</v>
      </c>
      <c r="AN4" t="s">
        <v>75</v>
      </c>
      <c r="AO4" t="s">
        <v>75</v>
      </c>
      <c r="AP4" t="s">
        <v>75</v>
      </c>
      <c r="AQ4" t="s">
        <v>75</v>
      </c>
      <c r="AR4" t="s">
        <v>75</v>
      </c>
      <c r="AS4" t="s">
        <v>75</v>
      </c>
      <c r="AT4" t="s">
        <v>75</v>
      </c>
      <c r="AU4" t="s">
        <v>104</v>
      </c>
      <c r="AV4" t="s">
        <v>105</v>
      </c>
      <c r="AW4" t="s">
        <v>103</v>
      </c>
      <c r="AX4" t="s">
        <v>106</v>
      </c>
      <c r="AY4" t="s">
        <v>107</v>
      </c>
      <c r="AZ4" t="s">
        <v>106</v>
      </c>
      <c r="BA4" t="s">
        <v>1295</v>
      </c>
      <c r="BB4" s="13" t="str">
        <f t="shared" si="2"/>
        <v xml:space="preserve"> Dehradun</v>
      </c>
      <c r="BC4" t="s">
        <v>107</v>
      </c>
      <c r="BD4" t="s">
        <v>73</v>
      </c>
      <c r="BE4" t="s">
        <v>81</v>
      </c>
      <c r="BF4" t="s">
        <v>82</v>
      </c>
      <c r="BG4" t="s">
        <v>108</v>
      </c>
      <c r="BH4" t="s">
        <v>73</v>
      </c>
      <c r="BI4" t="s">
        <v>73</v>
      </c>
      <c r="BJ4" t="s">
        <v>73</v>
      </c>
      <c r="BK4" t="s">
        <v>109</v>
      </c>
      <c r="BL4" t="s">
        <v>73</v>
      </c>
      <c r="BM4" s="12">
        <v>72</v>
      </c>
    </row>
    <row r="5" spans="1:65">
      <c r="A5" t="s">
        <v>60</v>
      </c>
      <c r="B5" t="s">
        <v>110</v>
      </c>
      <c r="C5" t="s">
        <v>111</v>
      </c>
      <c r="D5" t="s">
        <v>112</v>
      </c>
      <c r="E5" t="s">
        <v>113</v>
      </c>
      <c r="F5" t="s">
        <v>114</v>
      </c>
      <c r="G5" t="str">
        <f t="shared" si="0"/>
        <v>CANT02</v>
      </c>
      <c r="H5" t="s">
        <v>66</v>
      </c>
      <c r="I5" t="s">
        <v>67</v>
      </c>
      <c r="J5" t="s">
        <v>67</v>
      </c>
      <c r="K5" t="s">
        <v>68</v>
      </c>
      <c r="L5" t="s">
        <v>69</v>
      </c>
      <c r="M5" t="s">
        <v>70</v>
      </c>
      <c r="N5" t="str">
        <f t="shared" si="1"/>
        <v>June</v>
      </c>
      <c r="O5" t="s">
        <v>70</v>
      </c>
      <c r="P5" t="s">
        <v>71</v>
      </c>
      <c r="Q5" t="s">
        <v>72</v>
      </c>
      <c r="R5" t="s">
        <v>73</v>
      </c>
      <c r="S5" t="s">
        <v>74</v>
      </c>
      <c r="T5" t="s">
        <v>75</v>
      </c>
      <c r="U5" t="s">
        <v>75</v>
      </c>
      <c r="V5" t="s">
        <v>75</v>
      </c>
      <c r="W5" t="s">
        <v>74</v>
      </c>
      <c r="X5" t="s">
        <v>75</v>
      </c>
      <c r="Y5" t="s">
        <v>74</v>
      </c>
      <c r="Z5" t="s">
        <v>76</v>
      </c>
      <c r="AA5" t="s">
        <v>74</v>
      </c>
      <c r="AB5" t="s">
        <v>75</v>
      </c>
      <c r="AC5" t="s">
        <v>75</v>
      </c>
      <c r="AD5" t="s">
        <v>75</v>
      </c>
      <c r="AE5" t="s">
        <v>75</v>
      </c>
      <c r="AF5" t="s">
        <v>75</v>
      </c>
      <c r="AG5" t="s">
        <v>75</v>
      </c>
      <c r="AH5" t="s">
        <v>75</v>
      </c>
      <c r="AI5" t="s">
        <v>75</v>
      </c>
      <c r="AJ5" t="s">
        <v>75</v>
      </c>
      <c r="AK5" t="s">
        <v>75</v>
      </c>
      <c r="AL5" t="s">
        <v>75</v>
      </c>
      <c r="AM5" t="s">
        <v>75</v>
      </c>
      <c r="AN5" t="s">
        <v>75</v>
      </c>
      <c r="AO5" t="s">
        <v>75</v>
      </c>
      <c r="AP5" t="s">
        <v>75</v>
      </c>
      <c r="AQ5" t="s">
        <v>75</v>
      </c>
      <c r="AR5" t="s">
        <v>75</v>
      </c>
      <c r="AS5" t="s">
        <v>75</v>
      </c>
      <c r="AT5" t="s">
        <v>75</v>
      </c>
      <c r="AU5" t="s">
        <v>115</v>
      </c>
      <c r="AV5" t="s">
        <v>78</v>
      </c>
      <c r="AW5" t="s">
        <v>74</v>
      </c>
      <c r="AX5" t="s">
        <v>116</v>
      </c>
      <c r="AY5" t="s">
        <v>117</v>
      </c>
      <c r="AZ5" t="s">
        <v>116</v>
      </c>
      <c r="BA5" t="s">
        <v>1296</v>
      </c>
      <c r="BB5" s="13" t="str">
        <f t="shared" si="2"/>
        <v xml:space="preserve"> Pune</v>
      </c>
      <c r="BC5" t="s">
        <v>117</v>
      </c>
      <c r="BD5" t="s">
        <v>73</v>
      </c>
      <c r="BE5" t="s">
        <v>81</v>
      </c>
      <c r="BF5" t="s">
        <v>82</v>
      </c>
      <c r="BG5" t="s">
        <v>83</v>
      </c>
      <c r="BH5" t="s">
        <v>73</v>
      </c>
      <c r="BI5" t="s">
        <v>73</v>
      </c>
      <c r="BJ5" t="s">
        <v>73</v>
      </c>
      <c r="BK5" t="s">
        <v>118</v>
      </c>
      <c r="BL5" t="s">
        <v>73</v>
      </c>
      <c r="BM5" s="12">
        <v>90</v>
      </c>
    </row>
    <row r="6" spans="1:65">
      <c r="A6" t="s">
        <v>60</v>
      </c>
      <c r="B6" t="s">
        <v>119</v>
      </c>
      <c r="C6" t="s">
        <v>120</v>
      </c>
      <c r="D6" t="s">
        <v>112</v>
      </c>
      <c r="E6" t="s">
        <v>113</v>
      </c>
      <c r="F6" t="s">
        <v>114</v>
      </c>
      <c r="G6" t="str">
        <f t="shared" si="0"/>
        <v>CANT02</v>
      </c>
      <c r="H6" t="s">
        <v>66</v>
      </c>
      <c r="I6" t="s">
        <v>67</v>
      </c>
      <c r="J6" t="s">
        <v>67</v>
      </c>
      <c r="K6" t="s">
        <v>68</v>
      </c>
      <c r="L6" t="s">
        <v>69</v>
      </c>
      <c r="M6" t="s">
        <v>70</v>
      </c>
      <c r="N6" t="str">
        <f t="shared" si="1"/>
        <v>June</v>
      </c>
      <c r="O6" t="s">
        <v>70</v>
      </c>
      <c r="P6" t="s">
        <v>71</v>
      </c>
      <c r="Q6" t="s">
        <v>72</v>
      </c>
      <c r="R6" t="s">
        <v>73</v>
      </c>
      <c r="S6" t="s">
        <v>74</v>
      </c>
      <c r="T6" t="s">
        <v>75</v>
      </c>
      <c r="U6" t="s">
        <v>75</v>
      </c>
      <c r="V6" t="s">
        <v>75</v>
      </c>
      <c r="W6" t="s">
        <v>74</v>
      </c>
      <c r="X6" t="s">
        <v>75</v>
      </c>
      <c r="Y6" t="s">
        <v>74</v>
      </c>
      <c r="Z6" t="s">
        <v>76</v>
      </c>
      <c r="AA6" t="s">
        <v>74</v>
      </c>
      <c r="AB6" t="s">
        <v>75</v>
      </c>
      <c r="AC6" t="s">
        <v>75</v>
      </c>
      <c r="AD6" t="s">
        <v>75</v>
      </c>
      <c r="AE6" t="s">
        <v>75</v>
      </c>
      <c r="AF6" t="s">
        <v>75</v>
      </c>
      <c r="AG6" t="s">
        <v>75</v>
      </c>
      <c r="AH6" t="s">
        <v>75</v>
      </c>
      <c r="AI6" t="s">
        <v>75</v>
      </c>
      <c r="AJ6" t="s">
        <v>75</v>
      </c>
      <c r="AK6" t="s">
        <v>75</v>
      </c>
      <c r="AL6" t="s">
        <v>75</v>
      </c>
      <c r="AM6" t="s">
        <v>75</v>
      </c>
      <c r="AN6" t="s">
        <v>75</v>
      </c>
      <c r="AO6" t="s">
        <v>75</v>
      </c>
      <c r="AP6" t="s">
        <v>75</v>
      </c>
      <c r="AQ6" t="s">
        <v>75</v>
      </c>
      <c r="AR6" t="s">
        <v>75</v>
      </c>
      <c r="AS6" t="s">
        <v>75</v>
      </c>
      <c r="AT6" t="s">
        <v>75</v>
      </c>
      <c r="AU6" t="s">
        <v>121</v>
      </c>
      <c r="AV6" t="s">
        <v>122</v>
      </c>
      <c r="AW6" t="s">
        <v>74</v>
      </c>
      <c r="AX6" t="s">
        <v>123</v>
      </c>
      <c r="AY6" t="s">
        <v>124</v>
      </c>
      <c r="AZ6" t="s">
        <v>125</v>
      </c>
      <c r="BA6" t="s">
        <v>1297</v>
      </c>
      <c r="BB6" s="13" t="str">
        <f t="shared" si="2"/>
        <v xml:space="preserve"> Chennai</v>
      </c>
      <c r="BC6" t="s">
        <v>126</v>
      </c>
      <c r="BD6" t="s">
        <v>73</v>
      </c>
      <c r="BE6" t="s">
        <v>81</v>
      </c>
      <c r="BF6" t="s">
        <v>82</v>
      </c>
      <c r="BG6" t="s">
        <v>83</v>
      </c>
      <c r="BH6" t="s">
        <v>73</v>
      </c>
      <c r="BI6" t="s">
        <v>73</v>
      </c>
      <c r="BJ6" t="s">
        <v>73</v>
      </c>
      <c r="BK6" t="s">
        <v>127</v>
      </c>
      <c r="BL6" t="s">
        <v>73</v>
      </c>
      <c r="BM6" s="12">
        <v>74</v>
      </c>
    </row>
    <row r="7" spans="1:65">
      <c r="A7" t="s">
        <v>60</v>
      </c>
      <c r="B7" t="s">
        <v>128</v>
      </c>
      <c r="C7" t="s">
        <v>129</v>
      </c>
      <c r="D7" t="s">
        <v>112</v>
      </c>
      <c r="E7" t="s">
        <v>113</v>
      </c>
      <c r="F7" t="s">
        <v>114</v>
      </c>
      <c r="G7" t="str">
        <f t="shared" si="0"/>
        <v>CANT02</v>
      </c>
      <c r="H7" t="s">
        <v>66</v>
      </c>
      <c r="I7" t="s">
        <v>67</v>
      </c>
      <c r="J7" t="s">
        <v>67</v>
      </c>
      <c r="K7" t="s">
        <v>68</v>
      </c>
      <c r="L7" t="s">
        <v>69</v>
      </c>
      <c r="M7" t="s">
        <v>70</v>
      </c>
      <c r="N7" t="str">
        <f t="shared" si="1"/>
        <v>June</v>
      </c>
      <c r="O7" t="s">
        <v>70</v>
      </c>
      <c r="P7" t="s">
        <v>71</v>
      </c>
      <c r="Q7" t="s">
        <v>72</v>
      </c>
      <c r="R7" t="s">
        <v>73</v>
      </c>
      <c r="S7" t="s">
        <v>74</v>
      </c>
      <c r="T7" t="s">
        <v>75</v>
      </c>
      <c r="U7" t="s">
        <v>75</v>
      </c>
      <c r="V7" t="s">
        <v>75</v>
      </c>
      <c r="W7" t="s">
        <v>74</v>
      </c>
      <c r="X7" t="s">
        <v>75</v>
      </c>
      <c r="Y7" t="s">
        <v>74</v>
      </c>
      <c r="Z7" t="s">
        <v>76</v>
      </c>
      <c r="AA7" t="s">
        <v>74</v>
      </c>
      <c r="AB7" t="s">
        <v>75</v>
      </c>
      <c r="AC7" t="s">
        <v>75</v>
      </c>
      <c r="AD7" t="s">
        <v>75</v>
      </c>
      <c r="AE7" t="s">
        <v>75</v>
      </c>
      <c r="AF7" t="s">
        <v>75</v>
      </c>
      <c r="AG7" t="s">
        <v>75</v>
      </c>
      <c r="AH7" t="s">
        <v>75</v>
      </c>
      <c r="AI7" t="s">
        <v>75</v>
      </c>
      <c r="AJ7" t="s">
        <v>75</v>
      </c>
      <c r="AK7" t="s">
        <v>75</v>
      </c>
      <c r="AL7" t="s">
        <v>75</v>
      </c>
      <c r="AM7" t="s">
        <v>75</v>
      </c>
      <c r="AN7" t="s">
        <v>75</v>
      </c>
      <c r="AO7" t="s">
        <v>75</v>
      </c>
      <c r="AP7" t="s">
        <v>75</v>
      </c>
      <c r="AQ7" t="s">
        <v>75</v>
      </c>
      <c r="AR7" t="s">
        <v>75</v>
      </c>
      <c r="AS7" t="s">
        <v>75</v>
      </c>
      <c r="AT7" t="s">
        <v>75</v>
      </c>
      <c r="AU7" t="s">
        <v>130</v>
      </c>
      <c r="AV7" t="s">
        <v>122</v>
      </c>
      <c r="AW7" t="s">
        <v>74</v>
      </c>
      <c r="AX7" t="s">
        <v>131</v>
      </c>
      <c r="AY7" t="s">
        <v>117</v>
      </c>
      <c r="AZ7" t="s">
        <v>131</v>
      </c>
      <c r="BA7" t="s">
        <v>1298</v>
      </c>
      <c r="BB7" s="13" t="str">
        <f t="shared" si="2"/>
        <v xml:space="preserve"> Solapur</v>
      </c>
      <c r="BC7" t="s">
        <v>117</v>
      </c>
      <c r="BD7" t="s">
        <v>73</v>
      </c>
      <c r="BE7" t="s">
        <v>81</v>
      </c>
      <c r="BF7" t="s">
        <v>82</v>
      </c>
      <c r="BG7" t="s">
        <v>83</v>
      </c>
      <c r="BH7" t="s">
        <v>73</v>
      </c>
      <c r="BI7" t="s">
        <v>73</v>
      </c>
      <c r="BJ7" t="s">
        <v>73</v>
      </c>
      <c r="BK7" t="s">
        <v>132</v>
      </c>
      <c r="BL7" t="s">
        <v>73</v>
      </c>
      <c r="BM7" s="12">
        <v>81</v>
      </c>
    </row>
    <row r="8" spans="1:65">
      <c r="A8" t="s">
        <v>60</v>
      </c>
      <c r="B8" t="s">
        <v>133</v>
      </c>
      <c r="C8" t="s">
        <v>134</v>
      </c>
      <c r="D8" t="s">
        <v>135</v>
      </c>
      <c r="E8" t="s">
        <v>136</v>
      </c>
      <c r="F8" t="s">
        <v>137</v>
      </c>
      <c r="G8" t="str">
        <f t="shared" si="0"/>
        <v>T-F-A-S01</v>
      </c>
      <c r="H8" t="s">
        <v>66</v>
      </c>
      <c r="I8" t="s">
        <v>138</v>
      </c>
      <c r="J8" t="s">
        <v>139</v>
      </c>
      <c r="K8" t="s">
        <v>140</v>
      </c>
      <c r="L8" t="s">
        <v>69</v>
      </c>
      <c r="M8" t="s">
        <v>141</v>
      </c>
      <c r="N8" t="str">
        <f t="shared" si="1"/>
        <v>July</v>
      </c>
      <c r="O8" t="s">
        <v>141</v>
      </c>
      <c r="P8" t="s">
        <v>71</v>
      </c>
      <c r="Q8" t="s">
        <v>72</v>
      </c>
      <c r="R8" t="s">
        <v>73</v>
      </c>
      <c r="S8" t="s">
        <v>142</v>
      </c>
      <c r="T8" t="s">
        <v>75</v>
      </c>
      <c r="U8" t="s">
        <v>75</v>
      </c>
      <c r="V8" t="s">
        <v>75</v>
      </c>
      <c r="W8" t="s">
        <v>142</v>
      </c>
      <c r="X8" t="s">
        <v>75</v>
      </c>
      <c r="Y8" t="s">
        <v>142</v>
      </c>
      <c r="Z8" t="s">
        <v>76</v>
      </c>
      <c r="AA8" t="s">
        <v>143</v>
      </c>
      <c r="AB8" t="s">
        <v>75</v>
      </c>
      <c r="AC8" t="s">
        <v>75</v>
      </c>
      <c r="AD8" t="s">
        <v>75</v>
      </c>
      <c r="AE8" t="s">
        <v>75</v>
      </c>
      <c r="AF8" t="s">
        <v>75</v>
      </c>
      <c r="AG8" t="s">
        <v>75</v>
      </c>
      <c r="AH8" t="s">
        <v>75</v>
      </c>
      <c r="AI8" t="s">
        <v>75</v>
      </c>
      <c r="AJ8" t="s">
        <v>75</v>
      </c>
      <c r="AK8" t="s">
        <v>75</v>
      </c>
      <c r="AL8" t="s">
        <v>75</v>
      </c>
      <c r="AM8" t="s">
        <v>75</v>
      </c>
      <c r="AN8" t="s">
        <v>75</v>
      </c>
      <c r="AO8" t="s">
        <v>75</v>
      </c>
      <c r="AP8" t="s">
        <v>75</v>
      </c>
      <c r="AQ8" t="s">
        <v>75</v>
      </c>
      <c r="AR8" t="s">
        <v>75</v>
      </c>
      <c r="AS8" t="s">
        <v>75</v>
      </c>
      <c r="AT8" t="s">
        <v>75</v>
      </c>
      <c r="AU8" t="s">
        <v>144</v>
      </c>
      <c r="AV8" t="s">
        <v>145</v>
      </c>
      <c r="AW8" t="s">
        <v>143</v>
      </c>
      <c r="AX8" t="s">
        <v>146</v>
      </c>
      <c r="AY8" t="s">
        <v>147</v>
      </c>
      <c r="AZ8" t="s">
        <v>146</v>
      </c>
      <c r="BA8" t="s">
        <v>1299</v>
      </c>
      <c r="BB8" s="13" t="str">
        <f t="shared" si="2"/>
        <v xml:space="preserve"> Guwahati</v>
      </c>
      <c r="BC8" t="s">
        <v>147</v>
      </c>
      <c r="BD8" t="s">
        <v>73</v>
      </c>
      <c r="BE8" t="s">
        <v>81</v>
      </c>
      <c r="BF8" t="s">
        <v>82</v>
      </c>
      <c r="BG8" t="s">
        <v>148</v>
      </c>
      <c r="BH8" t="s">
        <v>73</v>
      </c>
      <c r="BI8" t="s">
        <v>73</v>
      </c>
      <c r="BJ8" t="s">
        <v>73</v>
      </c>
      <c r="BK8" t="s">
        <v>149</v>
      </c>
      <c r="BL8" t="s">
        <v>73</v>
      </c>
      <c r="BM8" s="12">
        <v>69</v>
      </c>
    </row>
    <row r="9" spans="1:65">
      <c r="A9" t="s">
        <v>60</v>
      </c>
      <c r="B9" t="s">
        <v>150</v>
      </c>
      <c r="C9" t="s">
        <v>151</v>
      </c>
      <c r="D9" t="s">
        <v>152</v>
      </c>
      <c r="E9" t="s">
        <v>153</v>
      </c>
      <c r="F9" t="s">
        <v>154</v>
      </c>
      <c r="G9" t="str">
        <f t="shared" si="0"/>
        <v>MIRACLE-MORNING01</v>
      </c>
      <c r="H9" t="s">
        <v>66</v>
      </c>
      <c r="I9" t="s">
        <v>67</v>
      </c>
      <c r="J9" t="s">
        <v>67</v>
      </c>
      <c r="K9" t="s">
        <v>140</v>
      </c>
      <c r="L9" t="s">
        <v>69</v>
      </c>
      <c r="M9" t="s">
        <v>155</v>
      </c>
      <c r="N9" t="str">
        <f t="shared" si="1"/>
        <v>July</v>
      </c>
      <c r="O9" t="s">
        <v>155</v>
      </c>
      <c r="P9" t="s">
        <v>71</v>
      </c>
      <c r="Q9" t="s">
        <v>72</v>
      </c>
      <c r="R9" t="s">
        <v>73</v>
      </c>
      <c r="S9" t="s">
        <v>156</v>
      </c>
      <c r="T9" t="s">
        <v>75</v>
      </c>
      <c r="U9" t="s">
        <v>75</v>
      </c>
      <c r="V9" t="s">
        <v>75</v>
      </c>
      <c r="W9" t="s">
        <v>156</v>
      </c>
      <c r="X9" t="s">
        <v>75</v>
      </c>
      <c r="Y9" t="s">
        <v>156</v>
      </c>
      <c r="Z9" t="s">
        <v>76</v>
      </c>
      <c r="AA9" t="s">
        <v>156</v>
      </c>
      <c r="AB9" t="s">
        <v>75</v>
      </c>
      <c r="AC9" t="s">
        <v>75</v>
      </c>
      <c r="AD9" t="s">
        <v>75</v>
      </c>
      <c r="AE9" t="s">
        <v>75</v>
      </c>
      <c r="AF9" t="s">
        <v>75</v>
      </c>
      <c r="AG9" t="s">
        <v>75</v>
      </c>
      <c r="AH9" t="s">
        <v>75</v>
      </c>
      <c r="AI9" t="s">
        <v>75</v>
      </c>
      <c r="AJ9" t="s">
        <v>75</v>
      </c>
      <c r="AK9" t="s">
        <v>75</v>
      </c>
      <c r="AL9" t="s">
        <v>75</v>
      </c>
      <c r="AM9" t="s">
        <v>75</v>
      </c>
      <c r="AN9" t="s">
        <v>75</v>
      </c>
      <c r="AO9" t="s">
        <v>75</v>
      </c>
      <c r="AP9" t="s">
        <v>75</v>
      </c>
      <c r="AQ9" t="s">
        <v>75</v>
      </c>
      <c r="AR9" t="s">
        <v>75</v>
      </c>
      <c r="AS9" t="s">
        <v>75</v>
      </c>
      <c r="AT9" t="s">
        <v>75</v>
      </c>
      <c r="AU9" t="s">
        <v>157</v>
      </c>
      <c r="AV9" t="s">
        <v>158</v>
      </c>
      <c r="AW9" t="s">
        <v>156</v>
      </c>
      <c r="AX9" t="s">
        <v>159</v>
      </c>
      <c r="AY9" t="s">
        <v>160</v>
      </c>
      <c r="AZ9" t="s">
        <v>159</v>
      </c>
      <c r="BA9" t="s">
        <v>1300</v>
      </c>
      <c r="BB9" s="13" t="str">
        <f t="shared" si="2"/>
        <v xml:space="preserve"> Chandigarh</v>
      </c>
      <c r="BC9" t="s">
        <v>160</v>
      </c>
      <c r="BD9" t="s">
        <v>161</v>
      </c>
      <c r="BE9" t="s">
        <v>81</v>
      </c>
      <c r="BF9" t="s">
        <v>82</v>
      </c>
      <c r="BG9" t="s">
        <v>162</v>
      </c>
      <c r="BH9" t="s">
        <v>73</v>
      </c>
      <c r="BI9" t="s">
        <v>73</v>
      </c>
      <c r="BJ9" t="s">
        <v>73</v>
      </c>
      <c r="BK9" t="s">
        <v>163</v>
      </c>
      <c r="BL9" t="s">
        <v>73</v>
      </c>
      <c r="BM9" s="12">
        <v>88</v>
      </c>
    </row>
    <row r="10" spans="1:65">
      <c r="A10" t="s">
        <v>60</v>
      </c>
      <c r="B10" t="s">
        <v>164</v>
      </c>
      <c r="C10" t="s">
        <v>165</v>
      </c>
      <c r="D10" t="s">
        <v>166</v>
      </c>
      <c r="E10" t="s">
        <v>167</v>
      </c>
      <c r="F10" t="s">
        <v>168</v>
      </c>
      <c r="G10" t="str">
        <f t="shared" si="0"/>
        <v>A-T-I</v>
      </c>
      <c r="H10" t="s">
        <v>66</v>
      </c>
      <c r="I10" t="s">
        <v>67</v>
      </c>
      <c r="J10" t="s">
        <v>67</v>
      </c>
      <c r="K10" t="s">
        <v>140</v>
      </c>
      <c r="L10" t="s">
        <v>69</v>
      </c>
      <c r="M10" t="s">
        <v>141</v>
      </c>
      <c r="N10" t="str">
        <f t="shared" si="1"/>
        <v>July</v>
      </c>
      <c r="O10" t="s">
        <v>141</v>
      </c>
      <c r="P10" t="s">
        <v>71</v>
      </c>
      <c r="Q10" t="s">
        <v>72</v>
      </c>
      <c r="R10" t="s">
        <v>73</v>
      </c>
      <c r="S10" t="s">
        <v>169</v>
      </c>
      <c r="T10" t="s">
        <v>170</v>
      </c>
      <c r="U10" t="s">
        <v>75</v>
      </c>
      <c r="V10" t="s">
        <v>170</v>
      </c>
      <c r="W10" t="s">
        <v>171</v>
      </c>
      <c r="X10" t="s">
        <v>75</v>
      </c>
      <c r="Y10" t="s">
        <v>171</v>
      </c>
      <c r="Z10" t="s">
        <v>76</v>
      </c>
      <c r="AA10" t="s">
        <v>171</v>
      </c>
      <c r="AB10" t="s">
        <v>75</v>
      </c>
      <c r="AC10" t="s">
        <v>75</v>
      </c>
      <c r="AD10" t="s">
        <v>75</v>
      </c>
      <c r="AE10" t="s">
        <v>75</v>
      </c>
      <c r="AF10" t="s">
        <v>75</v>
      </c>
      <c r="AG10" t="s">
        <v>75</v>
      </c>
      <c r="AH10" t="s">
        <v>75</v>
      </c>
      <c r="AI10" t="s">
        <v>75</v>
      </c>
      <c r="AJ10" t="s">
        <v>75</v>
      </c>
      <c r="AK10" t="s">
        <v>75</v>
      </c>
      <c r="AL10" t="s">
        <v>75</v>
      </c>
      <c r="AM10" t="s">
        <v>75</v>
      </c>
      <c r="AN10" t="s">
        <v>75</v>
      </c>
      <c r="AO10" t="s">
        <v>75</v>
      </c>
      <c r="AP10" t="s">
        <v>75</v>
      </c>
      <c r="AQ10" t="s">
        <v>75</v>
      </c>
      <c r="AR10" t="s">
        <v>75</v>
      </c>
      <c r="AS10" t="s">
        <v>75</v>
      </c>
      <c r="AT10" t="s">
        <v>75</v>
      </c>
      <c r="AU10" t="s">
        <v>172</v>
      </c>
      <c r="AV10" t="s">
        <v>145</v>
      </c>
      <c r="AW10" t="s">
        <v>171</v>
      </c>
      <c r="AX10" t="s">
        <v>173</v>
      </c>
      <c r="AY10" t="s">
        <v>174</v>
      </c>
      <c r="AZ10" t="s">
        <v>173</v>
      </c>
      <c r="BA10" t="s">
        <v>1301</v>
      </c>
      <c r="BB10" s="13" t="str">
        <f t="shared" si="2"/>
        <v xml:space="preserve"> Ranchi</v>
      </c>
      <c r="BC10" t="s">
        <v>174</v>
      </c>
      <c r="BD10" t="s">
        <v>73</v>
      </c>
      <c r="BE10" t="s">
        <v>81</v>
      </c>
      <c r="BF10" t="s">
        <v>82</v>
      </c>
      <c r="BG10" t="s">
        <v>175</v>
      </c>
      <c r="BH10" t="s">
        <v>73</v>
      </c>
      <c r="BI10" t="s">
        <v>73</v>
      </c>
      <c r="BJ10" t="s">
        <v>73</v>
      </c>
      <c r="BK10" t="s">
        <v>176</v>
      </c>
      <c r="BL10" t="s">
        <v>73</v>
      </c>
      <c r="BM10" s="12">
        <v>76</v>
      </c>
    </row>
    <row r="11" spans="1:65">
      <c r="A11" t="s">
        <v>60</v>
      </c>
      <c r="B11" t="s">
        <v>177</v>
      </c>
      <c r="C11" t="s">
        <v>178</v>
      </c>
      <c r="D11" t="s">
        <v>87</v>
      </c>
      <c r="E11" t="s">
        <v>88</v>
      </c>
      <c r="F11" t="s">
        <v>89</v>
      </c>
      <c r="G11" t="str">
        <f t="shared" si="0"/>
        <v>ALCHEMIST01</v>
      </c>
      <c r="H11" t="s">
        <v>66</v>
      </c>
      <c r="I11" t="s">
        <v>67</v>
      </c>
      <c r="J11" t="s">
        <v>67</v>
      </c>
      <c r="K11" t="s">
        <v>140</v>
      </c>
      <c r="L11" t="s">
        <v>69</v>
      </c>
      <c r="M11" t="s">
        <v>179</v>
      </c>
      <c r="N11" t="str">
        <f t="shared" si="1"/>
        <v>July</v>
      </c>
      <c r="O11" t="s">
        <v>179</v>
      </c>
      <c r="P11" t="s">
        <v>71</v>
      </c>
      <c r="Q11" t="s">
        <v>72</v>
      </c>
      <c r="R11" t="s">
        <v>73</v>
      </c>
      <c r="S11" t="s">
        <v>180</v>
      </c>
      <c r="T11" t="s">
        <v>181</v>
      </c>
      <c r="U11" t="s">
        <v>75</v>
      </c>
      <c r="V11" t="s">
        <v>181</v>
      </c>
      <c r="W11" t="s">
        <v>182</v>
      </c>
      <c r="X11" t="s">
        <v>75</v>
      </c>
      <c r="Y11" t="s">
        <v>182</v>
      </c>
      <c r="Z11" t="s">
        <v>76</v>
      </c>
      <c r="AA11" t="s">
        <v>182</v>
      </c>
      <c r="AB11" t="s">
        <v>75</v>
      </c>
      <c r="AC11" t="s">
        <v>75</v>
      </c>
      <c r="AD11" t="s">
        <v>75</v>
      </c>
      <c r="AE11" t="s">
        <v>75</v>
      </c>
      <c r="AF11" t="s">
        <v>75</v>
      </c>
      <c r="AG11" t="s">
        <v>75</v>
      </c>
      <c r="AH11" t="s">
        <v>75</v>
      </c>
      <c r="AI11" t="s">
        <v>75</v>
      </c>
      <c r="AJ11" t="s">
        <v>75</v>
      </c>
      <c r="AK11" t="s">
        <v>75</v>
      </c>
      <c r="AL11" t="s">
        <v>75</v>
      </c>
      <c r="AM11" t="s">
        <v>75</v>
      </c>
      <c r="AN11" t="s">
        <v>75</v>
      </c>
      <c r="AO11" t="s">
        <v>75</v>
      </c>
      <c r="AP11" t="s">
        <v>75</v>
      </c>
      <c r="AQ11" t="s">
        <v>75</v>
      </c>
      <c r="AR11" t="s">
        <v>75</v>
      </c>
      <c r="AS11" t="s">
        <v>75</v>
      </c>
      <c r="AT11" t="s">
        <v>75</v>
      </c>
      <c r="AU11" t="s">
        <v>183</v>
      </c>
      <c r="AV11" t="s">
        <v>184</v>
      </c>
      <c r="AW11" t="s">
        <v>182</v>
      </c>
      <c r="AX11" t="s">
        <v>185</v>
      </c>
      <c r="AY11" t="s">
        <v>147</v>
      </c>
      <c r="AZ11" t="s">
        <v>185</v>
      </c>
      <c r="BA11" t="s">
        <v>1302</v>
      </c>
      <c r="BB11" s="13" t="str">
        <f t="shared" si="2"/>
        <v xml:space="preserve"> Silchar</v>
      </c>
      <c r="BC11" t="s">
        <v>147</v>
      </c>
      <c r="BD11" t="s">
        <v>186</v>
      </c>
      <c r="BE11" t="s">
        <v>81</v>
      </c>
      <c r="BF11" t="s">
        <v>82</v>
      </c>
      <c r="BG11" t="s">
        <v>187</v>
      </c>
      <c r="BH11" t="s">
        <v>73</v>
      </c>
      <c r="BI11" t="s">
        <v>73</v>
      </c>
      <c r="BJ11" t="s">
        <v>73</v>
      </c>
      <c r="BK11" t="s">
        <v>188</v>
      </c>
      <c r="BL11" t="s">
        <v>73</v>
      </c>
      <c r="BM11" s="12">
        <v>83</v>
      </c>
    </row>
    <row r="12" spans="1:65">
      <c r="A12" t="s">
        <v>60</v>
      </c>
      <c r="B12" t="s">
        <v>189</v>
      </c>
      <c r="C12" t="s">
        <v>190</v>
      </c>
      <c r="D12" t="s">
        <v>191</v>
      </c>
      <c r="E12" t="s">
        <v>192</v>
      </c>
      <c r="F12" t="s">
        <v>193</v>
      </c>
      <c r="G12" t="str">
        <f t="shared" si="0"/>
        <v>THEMAGICTHINKBIG-1</v>
      </c>
      <c r="H12" t="s">
        <v>66</v>
      </c>
      <c r="I12" t="s">
        <v>67</v>
      </c>
      <c r="J12" t="s">
        <v>67</v>
      </c>
      <c r="K12" t="s">
        <v>140</v>
      </c>
      <c r="L12" t="s">
        <v>69</v>
      </c>
      <c r="M12" t="s">
        <v>194</v>
      </c>
      <c r="N12" t="str">
        <f t="shared" si="1"/>
        <v>July</v>
      </c>
      <c r="O12" t="s">
        <v>194</v>
      </c>
      <c r="P12" t="s">
        <v>71</v>
      </c>
      <c r="Q12" t="s">
        <v>72</v>
      </c>
      <c r="R12" t="s">
        <v>73</v>
      </c>
      <c r="S12" t="s">
        <v>195</v>
      </c>
      <c r="T12" t="s">
        <v>75</v>
      </c>
      <c r="U12" t="s">
        <v>75</v>
      </c>
      <c r="V12" t="s">
        <v>75</v>
      </c>
      <c r="W12" t="s">
        <v>195</v>
      </c>
      <c r="X12" t="s">
        <v>75</v>
      </c>
      <c r="Y12" t="s">
        <v>195</v>
      </c>
      <c r="Z12" t="s">
        <v>76</v>
      </c>
      <c r="AA12" t="s">
        <v>195</v>
      </c>
      <c r="AB12" t="s">
        <v>75</v>
      </c>
      <c r="AC12" t="s">
        <v>75</v>
      </c>
      <c r="AD12" t="s">
        <v>75</v>
      </c>
      <c r="AE12" t="s">
        <v>75</v>
      </c>
      <c r="AF12" t="s">
        <v>75</v>
      </c>
      <c r="AG12" t="s">
        <v>75</v>
      </c>
      <c r="AH12" t="s">
        <v>75</v>
      </c>
      <c r="AI12" t="s">
        <v>75</v>
      </c>
      <c r="AJ12" t="s">
        <v>75</v>
      </c>
      <c r="AK12" t="s">
        <v>75</v>
      </c>
      <c r="AL12" t="s">
        <v>75</v>
      </c>
      <c r="AM12" t="s">
        <v>75</v>
      </c>
      <c r="AN12" t="s">
        <v>75</v>
      </c>
      <c r="AO12" t="s">
        <v>75</v>
      </c>
      <c r="AP12" t="s">
        <v>75</v>
      </c>
      <c r="AQ12" t="s">
        <v>75</v>
      </c>
      <c r="AR12" t="s">
        <v>75</v>
      </c>
      <c r="AS12" t="s">
        <v>75</v>
      </c>
      <c r="AT12" t="s">
        <v>75</v>
      </c>
      <c r="AU12" t="s">
        <v>196</v>
      </c>
      <c r="AV12" t="s">
        <v>145</v>
      </c>
      <c r="AW12" t="s">
        <v>195</v>
      </c>
      <c r="AX12" t="s">
        <v>197</v>
      </c>
      <c r="AY12" t="s">
        <v>117</v>
      </c>
      <c r="AZ12" t="s">
        <v>197</v>
      </c>
      <c r="BA12" t="s">
        <v>1303</v>
      </c>
      <c r="BB12" s="13" t="str">
        <f t="shared" si="2"/>
        <v xml:space="preserve"> Nagpur</v>
      </c>
      <c r="BC12" t="s">
        <v>117</v>
      </c>
      <c r="BD12" t="s">
        <v>198</v>
      </c>
      <c r="BE12" t="s">
        <v>81</v>
      </c>
      <c r="BF12" t="s">
        <v>82</v>
      </c>
      <c r="BG12" t="s">
        <v>199</v>
      </c>
      <c r="BH12" t="s">
        <v>73</v>
      </c>
      <c r="BI12" t="s">
        <v>73</v>
      </c>
      <c r="BJ12" t="s">
        <v>73</v>
      </c>
      <c r="BK12" t="s">
        <v>200</v>
      </c>
      <c r="BL12" t="s">
        <v>73</v>
      </c>
      <c r="BM12" s="12">
        <v>79</v>
      </c>
    </row>
    <row r="13" spans="1:65">
      <c r="A13" t="s">
        <v>60</v>
      </c>
      <c r="B13" t="s">
        <v>201</v>
      </c>
      <c r="C13" t="s">
        <v>202</v>
      </c>
      <c r="D13" t="s">
        <v>203</v>
      </c>
      <c r="E13" t="s">
        <v>204</v>
      </c>
      <c r="F13" t="s">
        <v>205</v>
      </c>
      <c r="G13" t="str">
        <f t="shared" si="0"/>
        <v>The-Intelligent-Investor</v>
      </c>
      <c r="H13" t="s">
        <v>66</v>
      </c>
      <c r="I13" t="s">
        <v>67</v>
      </c>
      <c r="J13" t="s">
        <v>67</v>
      </c>
      <c r="K13" t="s">
        <v>68</v>
      </c>
      <c r="L13" t="s">
        <v>69</v>
      </c>
      <c r="M13" t="s">
        <v>206</v>
      </c>
      <c r="N13" t="str">
        <f t="shared" si="1"/>
        <v>July</v>
      </c>
      <c r="O13" t="s">
        <v>206</v>
      </c>
      <c r="P13" t="s">
        <v>71</v>
      </c>
      <c r="Q13" t="s">
        <v>72</v>
      </c>
      <c r="R13" t="s">
        <v>73</v>
      </c>
      <c r="S13" t="s">
        <v>207</v>
      </c>
      <c r="T13" t="s">
        <v>75</v>
      </c>
      <c r="U13" t="s">
        <v>75</v>
      </c>
      <c r="V13" t="s">
        <v>75</v>
      </c>
      <c r="W13" t="s">
        <v>207</v>
      </c>
      <c r="X13" t="s">
        <v>208</v>
      </c>
      <c r="Y13" t="s">
        <v>142</v>
      </c>
      <c r="Z13" t="s">
        <v>76</v>
      </c>
      <c r="AA13" t="s">
        <v>142</v>
      </c>
      <c r="AB13" t="s">
        <v>75</v>
      </c>
      <c r="AC13" t="s">
        <v>75</v>
      </c>
      <c r="AD13" t="s">
        <v>75</v>
      </c>
      <c r="AE13" t="s">
        <v>75</v>
      </c>
      <c r="AF13" t="s">
        <v>75</v>
      </c>
      <c r="AG13" t="s">
        <v>75</v>
      </c>
      <c r="AH13" t="s">
        <v>75</v>
      </c>
      <c r="AI13" t="s">
        <v>75</v>
      </c>
      <c r="AJ13" t="s">
        <v>75</v>
      </c>
      <c r="AK13" t="s">
        <v>75</v>
      </c>
      <c r="AL13" t="s">
        <v>75</v>
      </c>
      <c r="AM13" t="s">
        <v>75</v>
      </c>
      <c r="AN13" t="s">
        <v>75</v>
      </c>
      <c r="AO13" t="s">
        <v>75</v>
      </c>
      <c r="AP13" t="s">
        <v>75</v>
      </c>
      <c r="AQ13" t="s">
        <v>75</v>
      </c>
      <c r="AR13" t="s">
        <v>75</v>
      </c>
      <c r="AS13" t="s">
        <v>75</v>
      </c>
      <c r="AT13" t="s">
        <v>75</v>
      </c>
      <c r="AU13" t="s">
        <v>209</v>
      </c>
      <c r="AV13" t="s">
        <v>210</v>
      </c>
      <c r="AW13" t="s">
        <v>142</v>
      </c>
      <c r="AX13" t="s">
        <v>211</v>
      </c>
      <c r="AY13" t="s">
        <v>212</v>
      </c>
      <c r="AZ13" t="s">
        <v>211</v>
      </c>
      <c r="BA13" t="s">
        <v>1304</v>
      </c>
      <c r="BB13" s="13" t="str">
        <f t="shared" si="2"/>
        <v xml:space="preserve"> Jammu</v>
      </c>
      <c r="BC13" t="s">
        <v>212</v>
      </c>
      <c r="BD13" t="s">
        <v>73</v>
      </c>
      <c r="BE13" t="s">
        <v>81</v>
      </c>
      <c r="BF13" t="s">
        <v>82</v>
      </c>
      <c r="BG13" t="s">
        <v>148</v>
      </c>
      <c r="BH13" t="s">
        <v>73</v>
      </c>
      <c r="BI13" t="s">
        <v>73</v>
      </c>
      <c r="BJ13" t="s">
        <v>73</v>
      </c>
      <c r="BK13" t="s">
        <v>213</v>
      </c>
      <c r="BL13" t="s">
        <v>73</v>
      </c>
      <c r="BM13" s="12">
        <v>71</v>
      </c>
    </row>
    <row r="14" spans="1:65">
      <c r="A14" t="s">
        <v>60</v>
      </c>
      <c r="B14" t="s">
        <v>214</v>
      </c>
      <c r="C14" t="s">
        <v>215</v>
      </c>
      <c r="D14" t="s">
        <v>216</v>
      </c>
      <c r="E14" t="s">
        <v>217</v>
      </c>
      <c r="F14" t="s">
        <v>218</v>
      </c>
      <c r="G14" t="str">
        <f t="shared" si="0"/>
        <v>MIRACLE-COURAGE-ATOMIC-DEEP</v>
      </c>
      <c r="H14" t="s">
        <v>66</v>
      </c>
      <c r="I14" t="s">
        <v>67</v>
      </c>
      <c r="J14" t="s">
        <v>67</v>
      </c>
      <c r="K14" t="s">
        <v>140</v>
      </c>
      <c r="L14" t="s">
        <v>69</v>
      </c>
      <c r="M14" t="s">
        <v>179</v>
      </c>
      <c r="N14" t="str">
        <f t="shared" si="1"/>
        <v>July</v>
      </c>
      <c r="O14" t="s">
        <v>179</v>
      </c>
      <c r="P14" t="s">
        <v>71</v>
      </c>
      <c r="Q14" t="s">
        <v>72</v>
      </c>
      <c r="R14" t="s">
        <v>73</v>
      </c>
      <c r="S14" t="s">
        <v>219</v>
      </c>
      <c r="T14" t="s">
        <v>220</v>
      </c>
      <c r="U14" t="s">
        <v>75</v>
      </c>
      <c r="V14" t="s">
        <v>220</v>
      </c>
      <c r="W14" t="s">
        <v>221</v>
      </c>
      <c r="X14" t="s">
        <v>75</v>
      </c>
      <c r="Y14" t="s">
        <v>221</v>
      </c>
      <c r="Z14" t="s">
        <v>76</v>
      </c>
      <c r="AA14" t="s">
        <v>221</v>
      </c>
      <c r="AB14" t="s">
        <v>75</v>
      </c>
      <c r="AC14" t="s">
        <v>75</v>
      </c>
      <c r="AD14" t="s">
        <v>75</v>
      </c>
      <c r="AE14" t="s">
        <v>75</v>
      </c>
      <c r="AF14" t="s">
        <v>75</v>
      </c>
      <c r="AG14" t="s">
        <v>75</v>
      </c>
      <c r="AH14" t="s">
        <v>75</v>
      </c>
      <c r="AI14" t="s">
        <v>75</v>
      </c>
      <c r="AJ14" t="s">
        <v>75</v>
      </c>
      <c r="AK14" t="s">
        <v>75</v>
      </c>
      <c r="AL14" t="s">
        <v>75</v>
      </c>
      <c r="AM14" t="s">
        <v>75</v>
      </c>
      <c r="AN14" t="s">
        <v>75</v>
      </c>
      <c r="AO14" t="s">
        <v>75</v>
      </c>
      <c r="AP14" t="s">
        <v>75</v>
      </c>
      <c r="AQ14" t="s">
        <v>75</v>
      </c>
      <c r="AR14" t="s">
        <v>75</v>
      </c>
      <c r="AS14" t="s">
        <v>75</v>
      </c>
      <c r="AT14" t="s">
        <v>75</v>
      </c>
      <c r="AU14" t="s">
        <v>222</v>
      </c>
      <c r="AV14" t="s">
        <v>184</v>
      </c>
      <c r="AW14" t="s">
        <v>221</v>
      </c>
      <c r="AX14" t="s">
        <v>223</v>
      </c>
      <c r="AY14" t="s">
        <v>224</v>
      </c>
      <c r="AZ14" t="s">
        <v>223</v>
      </c>
      <c r="BA14" t="s">
        <v>1305</v>
      </c>
      <c r="BB14" s="13" t="str">
        <f t="shared" si="2"/>
        <v xml:space="preserve"> Kolkata</v>
      </c>
      <c r="BC14" t="s">
        <v>224</v>
      </c>
      <c r="BD14" t="s">
        <v>225</v>
      </c>
      <c r="BE14" t="s">
        <v>81</v>
      </c>
      <c r="BF14" t="s">
        <v>82</v>
      </c>
      <c r="BG14" t="s">
        <v>226</v>
      </c>
      <c r="BH14" t="s">
        <v>73</v>
      </c>
      <c r="BI14" t="s">
        <v>73</v>
      </c>
      <c r="BJ14" t="s">
        <v>73</v>
      </c>
      <c r="BK14" t="s">
        <v>227</v>
      </c>
      <c r="BL14" t="s">
        <v>73</v>
      </c>
      <c r="BM14" s="12">
        <v>87</v>
      </c>
    </row>
    <row r="15" spans="1:65">
      <c r="A15" t="s">
        <v>60</v>
      </c>
      <c r="B15" t="s">
        <v>228</v>
      </c>
      <c r="C15" t="s">
        <v>229</v>
      </c>
      <c r="D15" t="s">
        <v>87</v>
      </c>
      <c r="E15" t="s">
        <v>88</v>
      </c>
      <c r="F15" t="s">
        <v>89</v>
      </c>
      <c r="G15" t="str">
        <f t="shared" si="0"/>
        <v>ALCHEMIST01</v>
      </c>
      <c r="H15" t="s">
        <v>66</v>
      </c>
      <c r="I15" t="s">
        <v>138</v>
      </c>
      <c r="J15" t="s">
        <v>138</v>
      </c>
      <c r="K15" t="s">
        <v>140</v>
      </c>
      <c r="L15" t="s">
        <v>69</v>
      </c>
      <c r="M15" t="s">
        <v>230</v>
      </c>
      <c r="N15" t="str">
        <f t="shared" si="1"/>
        <v>July</v>
      </c>
      <c r="O15" t="s">
        <v>230</v>
      </c>
      <c r="P15" t="s">
        <v>71</v>
      </c>
      <c r="Q15" t="s">
        <v>72</v>
      </c>
      <c r="R15" t="s">
        <v>73</v>
      </c>
      <c r="S15" t="s">
        <v>180</v>
      </c>
      <c r="T15" t="s">
        <v>231</v>
      </c>
      <c r="U15" t="s">
        <v>75</v>
      </c>
      <c r="V15" t="s">
        <v>231</v>
      </c>
      <c r="W15" t="s">
        <v>232</v>
      </c>
      <c r="X15" t="s">
        <v>75</v>
      </c>
      <c r="Y15" t="s">
        <v>232</v>
      </c>
      <c r="Z15" t="s">
        <v>76</v>
      </c>
      <c r="AA15" t="s">
        <v>233</v>
      </c>
      <c r="AB15" t="s">
        <v>75</v>
      </c>
      <c r="AC15" t="s">
        <v>75</v>
      </c>
      <c r="AD15" t="s">
        <v>75</v>
      </c>
      <c r="AE15" t="s">
        <v>75</v>
      </c>
      <c r="AF15" t="s">
        <v>75</v>
      </c>
      <c r="AG15" t="s">
        <v>75</v>
      </c>
      <c r="AH15" t="s">
        <v>75</v>
      </c>
      <c r="AI15" t="s">
        <v>75</v>
      </c>
      <c r="AJ15" t="s">
        <v>75</v>
      </c>
      <c r="AK15" t="s">
        <v>75</v>
      </c>
      <c r="AL15" t="s">
        <v>75</v>
      </c>
      <c r="AM15" t="s">
        <v>75</v>
      </c>
      <c r="AN15" t="s">
        <v>75</v>
      </c>
      <c r="AO15" t="s">
        <v>75</v>
      </c>
      <c r="AP15" t="s">
        <v>75</v>
      </c>
      <c r="AQ15" t="s">
        <v>75</v>
      </c>
      <c r="AR15" t="s">
        <v>75</v>
      </c>
      <c r="AS15" t="s">
        <v>75</v>
      </c>
      <c r="AT15" t="s">
        <v>75</v>
      </c>
      <c r="AU15" t="s">
        <v>234</v>
      </c>
      <c r="AV15" t="s">
        <v>235</v>
      </c>
      <c r="AW15" t="s">
        <v>233</v>
      </c>
      <c r="AX15" t="s">
        <v>236</v>
      </c>
      <c r="AY15" t="s">
        <v>80</v>
      </c>
      <c r="AZ15" t="s">
        <v>236</v>
      </c>
      <c r="BA15" t="s">
        <v>1306</v>
      </c>
      <c r="BB15" s="13" t="str">
        <f t="shared" si="2"/>
        <v xml:space="preserve"> Dharwad</v>
      </c>
      <c r="BC15" t="s">
        <v>80</v>
      </c>
      <c r="BD15" t="s">
        <v>186</v>
      </c>
      <c r="BE15" t="s">
        <v>81</v>
      </c>
      <c r="BF15" t="s">
        <v>82</v>
      </c>
      <c r="BG15" t="s">
        <v>237</v>
      </c>
      <c r="BH15" t="s">
        <v>73</v>
      </c>
      <c r="BI15" t="s">
        <v>73</v>
      </c>
      <c r="BJ15" t="s">
        <v>73</v>
      </c>
      <c r="BK15" t="s">
        <v>238</v>
      </c>
      <c r="BL15" t="s">
        <v>73</v>
      </c>
      <c r="BM15" s="12">
        <v>75</v>
      </c>
    </row>
    <row r="16" spans="1:65">
      <c r="A16" t="s">
        <v>60</v>
      </c>
      <c r="B16" t="s">
        <v>133</v>
      </c>
      <c r="C16" t="s">
        <v>134</v>
      </c>
      <c r="D16" t="s">
        <v>135</v>
      </c>
      <c r="E16" t="s">
        <v>136</v>
      </c>
      <c r="F16" t="s">
        <v>137</v>
      </c>
      <c r="G16" t="str">
        <f t="shared" si="0"/>
        <v>T-F-A-S01</v>
      </c>
      <c r="H16" t="s">
        <v>66</v>
      </c>
      <c r="I16" t="s">
        <v>67</v>
      </c>
      <c r="J16" t="s">
        <v>67</v>
      </c>
      <c r="K16" t="s">
        <v>140</v>
      </c>
      <c r="L16" t="s">
        <v>69</v>
      </c>
      <c r="M16" t="s">
        <v>141</v>
      </c>
      <c r="N16" t="str">
        <f t="shared" si="1"/>
        <v>July</v>
      </c>
      <c r="O16" t="s">
        <v>141</v>
      </c>
      <c r="P16" t="s">
        <v>71</v>
      </c>
      <c r="Q16" t="s">
        <v>72</v>
      </c>
      <c r="R16" t="s">
        <v>73</v>
      </c>
      <c r="S16" t="s">
        <v>142</v>
      </c>
      <c r="T16" t="s">
        <v>75</v>
      </c>
      <c r="U16" t="s">
        <v>75</v>
      </c>
      <c r="V16" t="s">
        <v>75</v>
      </c>
      <c r="W16" t="s">
        <v>142</v>
      </c>
      <c r="X16" t="s">
        <v>75</v>
      </c>
      <c r="Y16" t="s">
        <v>142</v>
      </c>
      <c r="Z16" t="s">
        <v>76</v>
      </c>
      <c r="AA16" t="s">
        <v>142</v>
      </c>
      <c r="AB16" t="s">
        <v>75</v>
      </c>
      <c r="AC16" t="s">
        <v>75</v>
      </c>
      <c r="AD16" t="s">
        <v>75</v>
      </c>
      <c r="AE16" t="s">
        <v>75</v>
      </c>
      <c r="AF16" t="s">
        <v>75</v>
      </c>
      <c r="AG16" t="s">
        <v>75</v>
      </c>
      <c r="AH16" t="s">
        <v>75</v>
      </c>
      <c r="AI16" t="s">
        <v>75</v>
      </c>
      <c r="AJ16" t="s">
        <v>75</v>
      </c>
      <c r="AK16" t="s">
        <v>75</v>
      </c>
      <c r="AL16" t="s">
        <v>75</v>
      </c>
      <c r="AM16" t="s">
        <v>75</v>
      </c>
      <c r="AN16" t="s">
        <v>75</v>
      </c>
      <c r="AO16" t="s">
        <v>75</v>
      </c>
      <c r="AP16" t="s">
        <v>75</v>
      </c>
      <c r="AQ16" t="s">
        <v>75</v>
      </c>
      <c r="AR16" t="s">
        <v>75</v>
      </c>
      <c r="AS16" t="s">
        <v>75</v>
      </c>
      <c r="AT16" t="s">
        <v>75</v>
      </c>
      <c r="AU16" t="s">
        <v>239</v>
      </c>
      <c r="AV16" t="s">
        <v>240</v>
      </c>
      <c r="AW16" t="s">
        <v>142</v>
      </c>
      <c r="AX16" t="s">
        <v>146</v>
      </c>
      <c r="AY16" t="s">
        <v>147</v>
      </c>
      <c r="AZ16" t="s">
        <v>146</v>
      </c>
      <c r="BA16" t="s">
        <v>1299</v>
      </c>
      <c r="BB16" s="13" t="str">
        <f t="shared" si="2"/>
        <v xml:space="preserve"> Guwahati</v>
      </c>
      <c r="BC16" t="s">
        <v>147</v>
      </c>
      <c r="BD16" t="s">
        <v>73</v>
      </c>
      <c r="BE16" t="s">
        <v>81</v>
      </c>
      <c r="BF16" t="s">
        <v>82</v>
      </c>
      <c r="BG16" t="s">
        <v>148</v>
      </c>
      <c r="BH16" t="s">
        <v>73</v>
      </c>
      <c r="BI16" t="s">
        <v>73</v>
      </c>
      <c r="BJ16" t="s">
        <v>73</v>
      </c>
      <c r="BK16" t="s">
        <v>149</v>
      </c>
      <c r="BL16" t="s">
        <v>73</v>
      </c>
      <c r="BM16" s="12">
        <v>82</v>
      </c>
    </row>
    <row r="17" spans="1:65">
      <c r="A17" t="s">
        <v>60</v>
      </c>
      <c r="B17" t="s">
        <v>241</v>
      </c>
      <c r="C17" t="s">
        <v>242</v>
      </c>
      <c r="D17" t="s">
        <v>243</v>
      </c>
      <c r="E17" t="s">
        <v>244</v>
      </c>
      <c r="F17" t="s">
        <v>245</v>
      </c>
      <c r="G17" t="str">
        <f t="shared" si="0"/>
        <v>T-M</v>
      </c>
      <c r="H17" t="s">
        <v>66</v>
      </c>
      <c r="I17" t="s">
        <v>67</v>
      </c>
      <c r="J17" t="s">
        <v>67</v>
      </c>
      <c r="K17" t="s">
        <v>140</v>
      </c>
      <c r="L17" t="s">
        <v>69</v>
      </c>
      <c r="M17" t="s">
        <v>141</v>
      </c>
      <c r="N17" t="str">
        <f t="shared" si="1"/>
        <v>July</v>
      </c>
      <c r="O17" t="s">
        <v>141</v>
      </c>
      <c r="P17" t="s">
        <v>71</v>
      </c>
      <c r="Q17" t="s">
        <v>72</v>
      </c>
      <c r="R17" t="s">
        <v>73</v>
      </c>
      <c r="S17" t="s">
        <v>246</v>
      </c>
      <c r="T17" t="s">
        <v>247</v>
      </c>
      <c r="U17" t="s">
        <v>75</v>
      </c>
      <c r="V17" t="s">
        <v>247</v>
      </c>
      <c r="W17" t="s">
        <v>186</v>
      </c>
      <c r="X17" t="s">
        <v>75</v>
      </c>
      <c r="Y17" t="s">
        <v>186</v>
      </c>
      <c r="Z17" t="s">
        <v>76</v>
      </c>
      <c r="AA17" t="s">
        <v>186</v>
      </c>
      <c r="AB17" t="s">
        <v>75</v>
      </c>
      <c r="AC17" t="s">
        <v>75</v>
      </c>
      <c r="AD17" t="s">
        <v>75</v>
      </c>
      <c r="AE17" t="s">
        <v>75</v>
      </c>
      <c r="AF17" t="s">
        <v>75</v>
      </c>
      <c r="AG17" t="s">
        <v>75</v>
      </c>
      <c r="AH17" t="s">
        <v>75</v>
      </c>
      <c r="AI17" t="s">
        <v>75</v>
      </c>
      <c r="AJ17" t="s">
        <v>75</v>
      </c>
      <c r="AK17" t="s">
        <v>75</v>
      </c>
      <c r="AL17" t="s">
        <v>75</v>
      </c>
      <c r="AM17" t="s">
        <v>75</v>
      </c>
      <c r="AN17" t="s">
        <v>75</v>
      </c>
      <c r="AO17" t="s">
        <v>75</v>
      </c>
      <c r="AP17" t="s">
        <v>75</v>
      </c>
      <c r="AQ17" t="s">
        <v>75</v>
      </c>
      <c r="AR17" t="s">
        <v>75</v>
      </c>
      <c r="AS17" t="s">
        <v>75</v>
      </c>
      <c r="AT17" t="s">
        <v>75</v>
      </c>
      <c r="AU17" t="s">
        <v>248</v>
      </c>
      <c r="AV17" t="s">
        <v>145</v>
      </c>
      <c r="AW17" t="s">
        <v>186</v>
      </c>
      <c r="AX17" t="s">
        <v>249</v>
      </c>
      <c r="AY17" t="s">
        <v>117</v>
      </c>
      <c r="AZ17" t="s">
        <v>249</v>
      </c>
      <c r="BA17" s="13" t="s">
        <v>1307</v>
      </c>
      <c r="BB17" s="13" t="str">
        <f t="shared" si="2"/>
        <v xml:space="preserve"> Solapur</v>
      </c>
      <c r="BC17" t="s">
        <v>117</v>
      </c>
      <c r="BD17" t="s">
        <v>73</v>
      </c>
      <c r="BE17" t="s">
        <v>81</v>
      </c>
      <c r="BF17" t="s">
        <v>82</v>
      </c>
      <c r="BG17" t="s">
        <v>250</v>
      </c>
      <c r="BH17" t="s">
        <v>73</v>
      </c>
      <c r="BI17" t="s">
        <v>73</v>
      </c>
      <c r="BJ17" t="s">
        <v>73</v>
      </c>
      <c r="BK17" t="s">
        <v>251</v>
      </c>
      <c r="BL17" t="s">
        <v>73</v>
      </c>
      <c r="BM17" s="12">
        <v>89</v>
      </c>
    </row>
    <row r="18" spans="1:65">
      <c r="A18" t="s">
        <v>60</v>
      </c>
      <c r="B18" t="s">
        <v>252</v>
      </c>
      <c r="C18" t="s">
        <v>253</v>
      </c>
      <c r="D18" t="s">
        <v>254</v>
      </c>
      <c r="E18" t="s">
        <v>255</v>
      </c>
      <c r="F18" t="s">
        <v>256</v>
      </c>
      <c r="G18" t="str">
        <f t="shared" si="0"/>
        <v>DO-EPIC-FROG</v>
      </c>
      <c r="H18" t="s">
        <v>66</v>
      </c>
      <c r="I18" t="s">
        <v>67</v>
      </c>
      <c r="J18" t="s">
        <v>67</v>
      </c>
      <c r="K18" t="s">
        <v>140</v>
      </c>
      <c r="L18" t="s">
        <v>69</v>
      </c>
      <c r="M18" t="s">
        <v>141</v>
      </c>
      <c r="N18" t="str">
        <f t="shared" si="1"/>
        <v>July</v>
      </c>
      <c r="O18" t="s">
        <v>141</v>
      </c>
      <c r="P18" t="s">
        <v>71</v>
      </c>
      <c r="Q18" t="s">
        <v>72</v>
      </c>
      <c r="R18" t="s">
        <v>73</v>
      </c>
      <c r="S18" t="s">
        <v>257</v>
      </c>
      <c r="T18" t="s">
        <v>247</v>
      </c>
      <c r="U18" t="s">
        <v>75</v>
      </c>
      <c r="V18" t="s">
        <v>247</v>
      </c>
      <c r="W18" t="s">
        <v>258</v>
      </c>
      <c r="X18" t="s">
        <v>75</v>
      </c>
      <c r="Y18" t="s">
        <v>258</v>
      </c>
      <c r="Z18" t="s">
        <v>76</v>
      </c>
      <c r="AA18" t="s">
        <v>258</v>
      </c>
      <c r="AB18" t="s">
        <v>75</v>
      </c>
      <c r="AC18" t="s">
        <v>75</v>
      </c>
      <c r="AD18" t="s">
        <v>75</v>
      </c>
      <c r="AE18" t="s">
        <v>75</v>
      </c>
      <c r="AF18" t="s">
        <v>75</v>
      </c>
      <c r="AG18" t="s">
        <v>75</v>
      </c>
      <c r="AH18" t="s">
        <v>75</v>
      </c>
      <c r="AI18" t="s">
        <v>75</v>
      </c>
      <c r="AJ18" t="s">
        <v>75</v>
      </c>
      <c r="AK18" t="s">
        <v>75</v>
      </c>
      <c r="AL18" t="s">
        <v>75</v>
      </c>
      <c r="AM18" t="s">
        <v>75</v>
      </c>
      <c r="AN18" t="s">
        <v>75</v>
      </c>
      <c r="AO18" t="s">
        <v>75</v>
      </c>
      <c r="AP18" t="s">
        <v>75</v>
      </c>
      <c r="AQ18" t="s">
        <v>75</v>
      </c>
      <c r="AR18" t="s">
        <v>75</v>
      </c>
      <c r="AS18" t="s">
        <v>75</v>
      </c>
      <c r="AT18" t="s">
        <v>75</v>
      </c>
      <c r="AU18" t="s">
        <v>259</v>
      </c>
      <c r="AV18" t="s">
        <v>240</v>
      </c>
      <c r="AW18" t="s">
        <v>258</v>
      </c>
      <c r="AX18" t="s">
        <v>260</v>
      </c>
      <c r="AY18" t="s">
        <v>261</v>
      </c>
      <c r="AZ18" t="s">
        <v>260</v>
      </c>
      <c r="BA18" t="s">
        <v>1308</v>
      </c>
      <c r="BB18" s="13" t="str">
        <f t="shared" si="2"/>
        <v xml:space="preserve"> Agra</v>
      </c>
      <c r="BC18" t="s">
        <v>261</v>
      </c>
      <c r="BD18" t="s">
        <v>73</v>
      </c>
      <c r="BE18" t="s">
        <v>81</v>
      </c>
      <c r="BF18" t="s">
        <v>82</v>
      </c>
      <c r="BG18" t="s">
        <v>262</v>
      </c>
      <c r="BH18" t="s">
        <v>73</v>
      </c>
      <c r="BI18" t="s">
        <v>73</v>
      </c>
      <c r="BJ18" t="s">
        <v>73</v>
      </c>
      <c r="BK18" t="s">
        <v>263</v>
      </c>
      <c r="BL18" t="s">
        <v>73</v>
      </c>
      <c r="BM18" s="12">
        <v>73</v>
      </c>
    </row>
    <row r="19" spans="1:65">
      <c r="A19" t="s">
        <v>60</v>
      </c>
      <c r="B19" t="s">
        <v>264</v>
      </c>
      <c r="C19" t="s">
        <v>265</v>
      </c>
      <c r="D19" t="s">
        <v>112</v>
      </c>
      <c r="E19" t="s">
        <v>113</v>
      </c>
      <c r="F19" t="s">
        <v>114</v>
      </c>
      <c r="G19" t="str">
        <f t="shared" si="0"/>
        <v>CANT02</v>
      </c>
      <c r="H19" t="s">
        <v>66</v>
      </c>
      <c r="I19" t="s">
        <v>138</v>
      </c>
      <c r="J19" t="s">
        <v>138</v>
      </c>
      <c r="K19" t="s">
        <v>140</v>
      </c>
      <c r="L19" t="s">
        <v>69</v>
      </c>
      <c r="M19" t="s">
        <v>266</v>
      </c>
      <c r="N19" t="str">
        <f t="shared" si="1"/>
        <v>July</v>
      </c>
      <c r="O19" t="s">
        <v>266</v>
      </c>
      <c r="P19" t="s">
        <v>71</v>
      </c>
      <c r="Q19" t="s">
        <v>72</v>
      </c>
      <c r="R19" t="s">
        <v>73</v>
      </c>
      <c r="S19" t="s">
        <v>74</v>
      </c>
      <c r="T19" t="s">
        <v>75</v>
      </c>
      <c r="U19" t="s">
        <v>75</v>
      </c>
      <c r="V19" t="s">
        <v>75</v>
      </c>
      <c r="W19" t="s">
        <v>74</v>
      </c>
      <c r="X19" t="s">
        <v>75</v>
      </c>
      <c r="Y19" t="s">
        <v>74</v>
      </c>
      <c r="Z19" t="s">
        <v>76</v>
      </c>
      <c r="AA19" t="s">
        <v>267</v>
      </c>
      <c r="AB19" t="s">
        <v>75</v>
      </c>
      <c r="AC19" t="s">
        <v>75</v>
      </c>
      <c r="AD19" t="s">
        <v>75</v>
      </c>
      <c r="AE19" t="s">
        <v>75</v>
      </c>
      <c r="AF19" t="s">
        <v>75</v>
      </c>
      <c r="AG19" t="s">
        <v>75</v>
      </c>
      <c r="AH19" t="s">
        <v>75</v>
      </c>
      <c r="AI19" t="s">
        <v>75</v>
      </c>
      <c r="AJ19" t="s">
        <v>75</v>
      </c>
      <c r="AK19" t="s">
        <v>75</v>
      </c>
      <c r="AL19" t="s">
        <v>75</v>
      </c>
      <c r="AM19" t="s">
        <v>75</v>
      </c>
      <c r="AN19" t="s">
        <v>75</v>
      </c>
      <c r="AO19" t="s">
        <v>75</v>
      </c>
      <c r="AP19" t="s">
        <v>75</v>
      </c>
      <c r="AQ19" t="s">
        <v>75</v>
      </c>
      <c r="AR19" t="s">
        <v>75</v>
      </c>
      <c r="AS19" t="s">
        <v>75</v>
      </c>
      <c r="AT19" t="s">
        <v>75</v>
      </c>
      <c r="AU19" t="s">
        <v>268</v>
      </c>
      <c r="AV19" t="s">
        <v>269</v>
      </c>
      <c r="AW19" t="s">
        <v>267</v>
      </c>
      <c r="AX19" t="s">
        <v>270</v>
      </c>
      <c r="AY19" t="s">
        <v>117</v>
      </c>
      <c r="AZ19" t="s">
        <v>270</v>
      </c>
      <c r="BA19" t="s">
        <v>1309</v>
      </c>
      <c r="BB19" s="13" t="str">
        <f t="shared" si="2"/>
        <v xml:space="preserve"> Ratnagiri</v>
      </c>
      <c r="BC19" t="s">
        <v>117</v>
      </c>
      <c r="BD19" t="s">
        <v>73</v>
      </c>
      <c r="BE19" t="s">
        <v>81</v>
      </c>
      <c r="BF19" t="s">
        <v>82</v>
      </c>
      <c r="BG19" t="s">
        <v>83</v>
      </c>
      <c r="BH19" t="s">
        <v>73</v>
      </c>
      <c r="BI19" t="s">
        <v>73</v>
      </c>
      <c r="BJ19" t="s">
        <v>73</v>
      </c>
      <c r="BK19" t="s">
        <v>271</v>
      </c>
      <c r="BL19" t="s">
        <v>73</v>
      </c>
      <c r="BM19" s="12">
        <v>80</v>
      </c>
    </row>
    <row r="20" spans="1:65">
      <c r="A20" t="s">
        <v>60</v>
      </c>
      <c r="B20" t="s">
        <v>272</v>
      </c>
      <c r="C20" t="s">
        <v>273</v>
      </c>
      <c r="D20" t="s">
        <v>203</v>
      </c>
      <c r="E20" t="s">
        <v>204</v>
      </c>
      <c r="F20" t="s">
        <v>205</v>
      </c>
      <c r="G20" t="str">
        <f t="shared" si="0"/>
        <v>The-Intelligent-Investor</v>
      </c>
      <c r="H20" t="s">
        <v>66</v>
      </c>
      <c r="I20" t="s">
        <v>67</v>
      </c>
      <c r="J20" t="s">
        <v>67</v>
      </c>
      <c r="K20" t="s">
        <v>140</v>
      </c>
      <c r="L20" t="s">
        <v>69</v>
      </c>
      <c r="M20" t="s">
        <v>141</v>
      </c>
      <c r="N20" t="str">
        <f t="shared" si="1"/>
        <v>July</v>
      </c>
      <c r="O20" t="s">
        <v>141</v>
      </c>
      <c r="P20" t="s">
        <v>71</v>
      </c>
      <c r="Q20" t="s">
        <v>72</v>
      </c>
      <c r="R20" t="s">
        <v>73</v>
      </c>
      <c r="S20" t="s">
        <v>207</v>
      </c>
      <c r="T20" t="s">
        <v>75</v>
      </c>
      <c r="U20" t="s">
        <v>75</v>
      </c>
      <c r="V20" t="s">
        <v>75</v>
      </c>
      <c r="W20" t="s">
        <v>207</v>
      </c>
      <c r="X20" t="s">
        <v>208</v>
      </c>
      <c r="Y20" t="s">
        <v>142</v>
      </c>
      <c r="Z20" t="s">
        <v>76</v>
      </c>
      <c r="AA20" t="s">
        <v>142</v>
      </c>
      <c r="AB20" t="s">
        <v>75</v>
      </c>
      <c r="AC20" t="s">
        <v>75</v>
      </c>
      <c r="AD20" t="s">
        <v>75</v>
      </c>
      <c r="AE20" t="s">
        <v>75</v>
      </c>
      <c r="AF20" t="s">
        <v>75</v>
      </c>
      <c r="AG20" t="s">
        <v>75</v>
      </c>
      <c r="AH20" t="s">
        <v>75</v>
      </c>
      <c r="AI20" t="s">
        <v>75</v>
      </c>
      <c r="AJ20" t="s">
        <v>75</v>
      </c>
      <c r="AK20" t="s">
        <v>75</v>
      </c>
      <c r="AL20" t="s">
        <v>75</v>
      </c>
      <c r="AM20" t="s">
        <v>75</v>
      </c>
      <c r="AN20" t="s">
        <v>75</v>
      </c>
      <c r="AO20" t="s">
        <v>75</v>
      </c>
      <c r="AP20" t="s">
        <v>75</v>
      </c>
      <c r="AQ20" t="s">
        <v>75</v>
      </c>
      <c r="AR20" t="s">
        <v>75</v>
      </c>
      <c r="AS20" t="s">
        <v>75</v>
      </c>
      <c r="AT20" t="s">
        <v>75</v>
      </c>
      <c r="AU20" t="s">
        <v>274</v>
      </c>
      <c r="AV20" t="s">
        <v>240</v>
      </c>
      <c r="AW20" t="s">
        <v>142</v>
      </c>
      <c r="AX20" t="s">
        <v>275</v>
      </c>
      <c r="AY20" t="s">
        <v>124</v>
      </c>
      <c r="AZ20" t="s">
        <v>275</v>
      </c>
      <c r="BA20" t="s">
        <v>1310</v>
      </c>
      <c r="BB20" s="13" t="str">
        <f t="shared" si="2"/>
        <v xml:space="preserve"> Rajkot</v>
      </c>
      <c r="BC20" t="s">
        <v>124</v>
      </c>
      <c r="BD20" t="s">
        <v>73</v>
      </c>
      <c r="BE20" t="s">
        <v>81</v>
      </c>
      <c r="BF20" t="s">
        <v>82</v>
      </c>
      <c r="BG20" t="s">
        <v>148</v>
      </c>
      <c r="BH20" t="s">
        <v>73</v>
      </c>
      <c r="BI20" t="s">
        <v>73</v>
      </c>
      <c r="BJ20" t="s">
        <v>73</v>
      </c>
      <c r="BK20" t="s">
        <v>276</v>
      </c>
      <c r="BL20" t="s">
        <v>73</v>
      </c>
      <c r="BM20" s="12">
        <v>77</v>
      </c>
    </row>
    <row r="21" spans="1:65">
      <c r="A21" t="s">
        <v>60</v>
      </c>
      <c r="B21" t="s">
        <v>228</v>
      </c>
      <c r="C21" t="s">
        <v>229</v>
      </c>
      <c r="D21" t="s">
        <v>87</v>
      </c>
      <c r="E21" t="s">
        <v>88</v>
      </c>
      <c r="F21" t="s">
        <v>89</v>
      </c>
      <c r="G21" t="str">
        <f t="shared" si="0"/>
        <v>ALCHEMIST01</v>
      </c>
      <c r="H21" t="s">
        <v>66</v>
      </c>
      <c r="I21" t="s">
        <v>67</v>
      </c>
      <c r="J21" t="s">
        <v>67</v>
      </c>
      <c r="K21" t="s">
        <v>140</v>
      </c>
      <c r="L21" t="s">
        <v>69</v>
      </c>
      <c r="M21" t="s">
        <v>230</v>
      </c>
      <c r="N21" t="str">
        <f t="shared" si="1"/>
        <v>July</v>
      </c>
      <c r="O21" t="s">
        <v>230</v>
      </c>
      <c r="P21" t="s">
        <v>71</v>
      </c>
      <c r="Q21" t="s">
        <v>72</v>
      </c>
      <c r="R21" t="s">
        <v>73</v>
      </c>
      <c r="S21" t="s">
        <v>180</v>
      </c>
      <c r="T21" t="s">
        <v>231</v>
      </c>
      <c r="U21" t="s">
        <v>75</v>
      </c>
      <c r="V21" t="s">
        <v>231</v>
      </c>
      <c r="W21" t="s">
        <v>232</v>
      </c>
      <c r="X21" t="s">
        <v>75</v>
      </c>
      <c r="Y21" t="s">
        <v>232</v>
      </c>
      <c r="Z21" t="s">
        <v>76</v>
      </c>
      <c r="AA21" t="s">
        <v>232</v>
      </c>
      <c r="AB21" t="s">
        <v>75</v>
      </c>
      <c r="AC21" t="s">
        <v>75</v>
      </c>
      <c r="AD21" t="s">
        <v>75</v>
      </c>
      <c r="AE21" t="s">
        <v>75</v>
      </c>
      <c r="AF21" t="s">
        <v>75</v>
      </c>
      <c r="AG21" t="s">
        <v>75</v>
      </c>
      <c r="AH21" t="s">
        <v>75</v>
      </c>
      <c r="AI21" t="s">
        <v>75</v>
      </c>
      <c r="AJ21" t="s">
        <v>75</v>
      </c>
      <c r="AK21" t="s">
        <v>75</v>
      </c>
      <c r="AL21" t="s">
        <v>75</v>
      </c>
      <c r="AM21" t="s">
        <v>75</v>
      </c>
      <c r="AN21" t="s">
        <v>75</v>
      </c>
      <c r="AO21" t="s">
        <v>75</v>
      </c>
      <c r="AP21" t="s">
        <v>75</v>
      </c>
      <c r="AQ21" t="s">
        <v>75</v>
      </c>
      <c r="AR21" t="s">
        <v>75</v>
      </c>
      <c r="AS21" t="s">
        <v>75</v>
      </c>
      <c r="AT21" t="s">
        <v>75</v>
      </c>
      <c r="AU21" t="s">
        <v>277</v>
      </c>
      <c r="AV21" t="s">
        <v>278</v>
      </c>
      <c r="AW21" t="s">
        <v>232</v>
      </c>
      <c r="AX21" t="s">
        <v>236</v>
      </c>
      <c r="AY21" t="s">
        <v>80</v>
      </c>
      <c r="AZ21" t="s">
        <v>236</v>
      </c>
      <c r="BA21" t="s">
        <v>1306</v>
      </c>
      <c r="BB21" s="13" t="str">
        <f t="shared" si="2"/>
        <v xml:space="preserve"> Dharwad</v>
      </c>
      <c r="BC21" t="s">
        <v>80</v>
      </c>
      <c r="BD21" t="s">
        <v>186</v>
      </c>
      <c r="BE21" t="s">
        <v>81</v>
      </c>
      <c r="BF21" t="s">
        <v>82</v>
      </c>
      <c r="BG21" t="s">
        <v>237</v>
      </c>
      <c r="BH21" t="s">
        <v>73</v>
      </c>
      <c r="BI21" t="s">
        <v>73</v>
      </c>
      <c r="BJ21" t="s">
        <v>73</v>
      </c>
      <c r="BK21" t="s">
        <v>238</v>
      </c>
      <c r="BL21" t="s">
        <v>73</v>
      </c>
      <c r="BM21" s="12">
        <v>84</v>
      </c>
    </row>
    <row r="22" spans="1:65">
      <c r="A22" t="s">
        <v>60</v>
      </c>
      <c r="B22" t="s">
        <v>279</v>
      </c>
      <c r="C22" t="s">
        <v>280</v>
      </c>
      <c r="D22" t="s">
        <v>99</v>
      </c>
      <c r="E22" t="s">
        <v>100</v>
      </c>
      <c r="F22" t="s">
        <v>101</v>
      </c>
      <c r="G22" t="str">
        <f t="shared" si="0"/>
        <v>PSYCH01</v>
      </c>
      <c r="H22" t="s">
        <v>66</v>
      </c>
      <c r="I22" t="s">
        <v>67</v>
      </c>
      <c r="J22" t="s">
        <v>67</v>
      </c>
      <c r="K22" t="s">
        <v>68</v>
      </c>
      <c r="L22" t="s">
        <v>69</v>
      </c>
      <c r="M22" t="s">
        <v>155</v>
      </c>
      <c r="N22" t="str">
        <f t="shared" si="1"/>
        <v>July</v>
      </c>
      <c r="O22" t="s">
        <v>155</v>
      </c>
      <c r="P22" t="s">
        <v>71</v>
      </c>
      <c r="Q22" t="s">
        <v>72</v>
      </c>
      <c r="R22" t="s">
        <v>73</v>
      </c>
      <c r="S22" t="s">
        <v>281</v>
      </c>
      <c r="T22" t="s">
        <v>231</v>
      </c>
      <c r="U22" t="s">
        <v>75</v>
      </c>
      <c r="V22" t="s">
        <v>231</v>
      </c>
      <c r="W22" t="s">
        <v>282</v>
      </c>
      <c r="X22" t="s">
        <v>75</v>
      </c>
      <c r="Y22" t="s">
        <v>282</v>
      </c>
      <c r="Z22" t="s">
        <v>76</v>
      </c>
      <c r="AA22" t="s">
        <v>282</v>
      </c>
      <c r="AB22" t="s">
        <v>75</v>
      </c>
      <c r="AC22" t="s">
        <v>75</v>
      </c>
      <c r="AD22" t="s">
        <v>75</v>
      </c>
      <c r="AE22" t="s">
        <v>75</v>
      </c>
      <c r="AF22" t="s">
        <v>75</v>
      </c>
      <c r="AG22" t="s">
        <v>75</v>
      </c>
      <c r="AH22" t="s">
        <v>75</v>
      </c>
      <c r="AI22" t="s">
        <v>75</v>
      </c>
      <c r="AJ22" t="s">
        <v>75</v>
      </c>
      <c r="AK22" t="s">
        <v>75</v>
      </c>
      <c r="AL22" t="s">
        <v>75</v>
      </c>
      <c r="AM22" t="s">
        <v>75</v>
      </c>
      <c r="AN22" t="s">
        <v>75</v>
      </c>
      <c r="AO22" t="s">
        <v>75</v>
      </c>
      <c r="AP22" t="s">
        <v>75</v>
      </c>
      <c r="AQ22" t="s">
        <v>75</v>
      </c>
      <c r="AR22" t="s">
        <v>75</v>
      </c>
      <c r="AS22" t="s">
        <v>75</v>
      </c>
      <c r="AT22" t="s">
        <v>75</v>
      </c>
      <c r="AU22" t="s">
        <v>283</v>
      </c>
      <c r="AV22" t="s">
        <v>284</v>
      </c>
      <c r="AW22" t="s">
        <v>282</v>
      </c>
      <c r="AX22" t="s">
        <v>285</v>
      </c>
      <c r="AY22" t="s">
        <v>147</v>
      </c>
      <c r="AZ22" t="s">
        <v>285</v>
      </c>
      <c r="BA22" s="13" t="s">
        <v>1311</v>
      </c>
      <c r="BB22" s="13" t="str">
        <f t="shared" si="2"/>
        <v xml:space="preserve"> Guwahati</v>
      </c>
      <c r="BC22" t="s">
        <v>147</v>
      </c>
      <c r="BD22" t="s">
        <v>73</v>
      </c>
      <c r="BE22" t="s">
        <v>81</v>
      </c>
      <c r="BF22" t="s">
        <v>82</v>
      </c>
      <c r="BG22" t="s">
        <v>286</v>
      </c>
      <c r="BH22" t="s">
        <v>73</v>
      </c>
      <c r="BI22" t="s">
        <v>73</v>
      </c>
      <c r="BJ22" t="s">
        <v>73</v>
      </c>
      <c r="BK22" t="s">
        <v>287</v>
      </c>
      <c r="BL22" t="s">
        <v>73</v>
      </c>
      <c r="BM22" s="12">
        <v>86</v>
      </c>
    </row>
    <row r="23" spans="1:65">
      <c r="A23" t="s">
        <v>60</v>
      </c>
      <c r="B23" t="s">
        <v>288</v>
      </c>
      <c r="C23" t="s">
        <v>289</v>
      </c>
      <c r="D23" t="s">
        <v>290</v>
      </c>
      <c r="E23" t="s">
        <v>291</v>
      </c>
      <c r="F23" t="s">
        <v>292</v>
      </c>
      <c r="G23" t="str">
        <f t="shared" si="0"/>
        <v>THE7HABITS12</v>
      </c>
      <c r="H23" t="s">
        <v>66</v>
      </c>
      <c r="I23" t="s">
        <v>67</v>
      </c>
      <c r="J23" t="s">
        <v>67</v>
      </c>
      <c r="K23" t="s">
        <v>68</v>
      </c>
      <c r="L23" t="s">
        <v>69</v>
      </c>
      <c r="M23" t="s">
        <v>293</v>
      </c>
      <c r="N23" t="str">
        <f t="shared" si="1"/>
        <v>July</v>
      </c>
      <c r="O23" t="s">
        <v>293</v>
      </c>
      <c r="P23" t="s">
        <v>71</v>
      </c>
      <c r="Q23" t="s">
        <v>72</v>
      </c>
      <c r="R23" t="s">
        <v>73</v>
      </c>
      <c r="S23" t="s">
        <v>294</v>
      </c>
      <c r="T23" t="s">
        <v>75</v>
      </c>
      <c r="U23" t="s">
        <v>75</v>
      </c>
      <c r="V23" t="s">
        <v>75</v>
      </c>
      <c r="W23" t="s">
        <v>294</v>
      </c>
      <c r="X23" t="s">
        <v>75</v>
      </c>
      <c r="Y23" t="s">
        <v>294</v>
      </c>
      <c r="Z23" t="s">
        <v>76</v>
      </c>
      <c r="AA23" t="s">
        <v>294</v>
      </c>
      <c r="AB23" t="s">
        <v>75</v>
      </c>
      <c r="AC23" t="s">
        <v>75</v>
      </c>
      <c r="AD23" t="s">
        <v>75</v>
      </c>
      <c r="AE23" t="s">
        <v>75</v>
      </c>
      <c r="AF23" t="s">
        <v>75</v>
      </c>
      <c r="AG23" t="s">
        <v>75</v>
      </c>
      <c r="AH23" t="s">
        <v>75</v>
      </c>
      <c r="AI23" t="s">
        <v>75</v>
      </c>
      <c r="AJ23" t="s">
        <v>75</v>
      </c>
      <c r="AK23" t="s">
        <v>75</v>
      </c>
      <c r="AL23" t="s">
        <v>75</v>
      </c>
      <c r="AM23" t="s">
        <v>75</v>
      </c>
      <c r="AN23" t="s">
        <v>75</v>
      </c>
      <c r="AO23" t="s">
        <v>75</v>
      </c>
      <c r="AP23" t="s">
        <v>75</v>
      </c>
      <c r="AQ23" t="s">
        <v>75</v>
      </c>
      <c r="AR23" t="s">
        <v>75</v>
      </c>
      <c r="AS23" t="s">
        <v>75</v>
      </c>
      <c r="AT23" t="s">
        <v>75</v>
      </c>
      <c r="AU23" t="s">
        <v>295</v>
      </c>
      <c r="AV23" t="s">
        <v>296</v>
      </c>
      <c r="AW23" t="s">
        <v>294</v>
      </c>
      <c r="AX23" t="s">
        <v>297</v>
      </c>
      <c r="AY23" t="s">
        <v>261</v>
      </c>
      <c r="AZ23" t="s">
        <v>297</v>
      </c>
      <c r="BA23" t="s">
        <v>1312</v>
      </c>
      <c r="BB23" s="13" t="str">
        <f t="shared" si="2"/>
        <v xml:space="preserve"> Mathura</v>
      </c>
      <c r="BC23" t="s">
        <v>261</v>
      </c>
      <c r="BD23" t="s">
        <v>298</v>
      </c>
      <c r="BE23" t="s">
        <v>81</v>
      </c>
      <c r="BF23" t="s">
        <v>82</v>
      </c>
      <c r="BG23" t="s">
        <v>299</v>
      </c>
      <c r="BH23" t="s">
        <v>73</v>
      </c>
      <c r="BI23" t="s">
        <v>73</v>
      </c>
      <c r="BJ23" t="s">
        <v>73</v>
      </c>
      <c r="BK23" t="s">
        <v>300</v>
      </c>
      <c r="BL23" t="s">
        <v>73</v>
      </c>
      <c r="BM23" s="12">
        <v>70</v>
      </c>
    </row>
    <row r="24" spans="1:65">
      <c r="A24" t="s">
        <v>60</v>
      </c>
      <c r="B24" t="s">
        <v>288</v>
      </c>
      <c r="C24" t="s">
        <v>289</v>
      </c>
      <c r="D24" t="s">
        <v>290</v>
      </c>
      <c r="E24" t="s">
        <v>291</v>
      </c>
      <c r="F24" t="s">
        <v>292</v>
      </c>
      <c r="G24" t="str">
        <f t="shared" si="0"/>
        <v>THE7HABITS12</v>
      </c>
      <c r="H24" t="s">
        <v>66</v>
      </c>
      <c r="I24" t="s">
        <v>138</v>
      </c>
      <c r="J24" t="s">
        <v>138</v>
      </c>
      <c r="K24" t="s">
        <v>68</v>
      </c>
      <c r="L24" t="s">
        <v>69</v>
      </c>
      <c r="M24" t="s">
        <v>293</v>
      </c>
      <c r="N24" t="str">
        <f t="shared" si="1"/>
        <v>July</v>
      </c>
      <c r="O24" t="s">
        <v>293</v>
      </c>
      <c r="P24" t="s">
        <v>71</v>
      </c>
      <c r="Q24" t="s">
        <v>72</v>
      </c>
      <c r="R24" t="s">
        <v>73</v>
      </c>
      <c r="S24" t="s">
        <v>294</v>
      </c>
      <c r="T24" t="s">
        <v>75</v>
      </c>
      <c r="U24" t="s">
        <v>75</v>
      </c>
      <c r="V24" t="s">
        <v>75</v>
      </c>
      <c r="W24" t="s">
        <v>294</v>
      </c>
      <c r="X24" t="s">
        <v>75</v>
      </c>
      <c r="Y24" t="s">
        <v>294</v>
      </c>
      <c r="Z24" t="s">
        <v>76</v>
      </c>
      <c r="AA24" t="s">
        <v>301</v>
      </c>
      <c r="AB24" t="s">
        <v>75</v>
      </c>
      <c r="AC24" t="s">
        <v>75</v>
      </c>
      <c r="AD24" t="s">
        <v>75</v>
      </c>
      <c r="AE24" t="s">
        <v>75</v>
      </c>
      <c r="AF24" t="s">
        <v>75</v>
      </c>
      <c r="AG24" t="s">
        <v>75</v>
      </c>
      <c r="AH24" t="s">
        <v>75</v>
      </c>
      <c r="AI24" t="s">
        <v>75</v>
      </c>
      <c r="AJ24" t="s">
        <v>75</v>
      </c>
      <c r="AK24" t="s">
        <v>75</v>
      </c>
      <c r="AL24" t="s">
        <v>75</v>
      </c>
      <c r="AM24" t="s">
        <v>75</v>
      </c>
      <c r="AN24" t="s">
        <v>75</v>
      </c>
      <c r="AO24" t="s">
        <v>75</v>
      </c>
      <c r="AP24" t="s">
        <v>75</v>
      </c>
      <c r="AQ24" t="s">
        <v>75</v>
      </c>
      <c r="AR24" t="s">
        <v>75</v>
      </c>
      <c r="AS24" t="s">
        <v>75</v>
      </c>
      <c r="AT24" t="s">
        <v>75</v>
      </c>
      <c r="AU24" t="s">
        <v>302</v>
      </c>
      <c r="AV24" t="s">
        <v>296</v>
      </c>
      <c r="AW24" t="s">
        <v>301</v>
      </c>
      <c r="AX24" t="s">
        <v>297</v>
      </c>
      <c r="AY24" t="s">
        <v>261</v>
      </c>
      <c r="AZ24" t="s">
        <v>297</v>
      </c>
      <c r="BA24" t="s">
        <v>1312</v>
      </c>
      <c r="BB24" s="13" t="str">
        <f t="shared" si="2"/>
        <v xml:space="preserve"> Mathura</v>
      </c>
      <c r="BC24" t="s">
        <v>261</v>
      </c>
      <c r="BD24" t="s">
        <v>298</v>
      </c>
      <c r="BE24" t="s">
        <v>81</v>
      </c>
      <c r="BF24" t="s">
        <v>82</v>
      </c>
      <c r="BG24" t="s">
        <v>299</v>
      </c>
      <c r="BH24" t="s">
        <v>73</v>
      </c>
      <c r="BI24" t="s">
        <v>73</v>
      </c>
      <c r="BJ24" t="s">
        <v>73</v>
      </c>
      <c r="BK24" t="s">
        <v>300</v>
      </c>
      <c r="BL24" t="s">
        <v>73</v>
      </c>
      <c r="BM24" s="12">
        <v>91</v>
      </c>
    </row>
    <row r="25" spans="1:65">
      <c r="A25" t="s">
        <v>60</v>
      </c>
      <c r="B25" t="s">
        <v>303</v>
      </c>
      <c r="C25" t="s">
        <v>304</v>
      </c>
      <c r="D25" t="s">
        <v>305</v>
      </c>
      <c r="E25" t="s">
        <v>306</v>
      </c>
      <c r="F25" t="s">
        <v>307</v>
      </c>
      <c r="G25" t="str">
        <f t="shared" si="0"/>
        <v>THANGRORICH</v>
      </c>
      <c r="H25" t="s">
        <v>66</v>
      </c>
      <c r="I25" t="s">
        <v>67</v>
      </c>
      <c r="J25" t="s">
        <v>67</v>
      </c>
      <c r="K25" t="s">
        <v>140</v>
      </c>
      <c r="L25" t="s">
        <v>69</v>
      </c>
      <c r="M25" t="s">
        <v>308</v>
      </c>
      <c r="N25" t="str">
        <f t="shared" si="1"/>
        <v>July</v>
      </c>
      <c r="O25" t="s">
        <v>308</v>
      </c>
      <c r="P25" t="s">
        <v>71</v>
      </c>
      <c r="Q25" t="s">
        <v>72</v>
      </c>
      <c r="R25" t="s">
        <v>73</v>
      </c>
      <c r="S25" t="s">
        <v>309</v>
      </c>
      <c r="T25" t="s">
        <v>75</v>
      </c>
      <c r="U25" t="s">
        <v>75</v>
      </c>
      <c r="V25" t="s">
        <v>75</v>
      </c>
      <c r="W25" t="s">
        <v>309</v>
      </c>
      <c r="X25" t="s">
        <v>75</v>
      </c>
      <c r="Y25" t="s">
        <v>309</v>
      </c>
      <c r="Z25" t="s">
        <v>76</v>
      </c>
      <c r="AA25" t="s">
        <v>309</v>
      </c>
      <c r="AB25" t="s">
        <v>75</v>
      </c>
      <c r="AC25" t="s">
        <v>75</v>
      </c>
      <c r="AD25" t="s">
        <v>75</v>
      </c>
      <c r="AE25" t="s">
        <v>75</v>
      </c>
      <c r="AF25" t="s">
        <v>75</v>
      </c>
      <c r="AG25" t="s">
        <v>75</v>
      </c>
      <c r="AH25" t="s">
        <v>75</v>
      </c>
      <c r="AI25" t="s">
        <v>75</v>
      </c>
      <c r="AJ25" t="s">
        <v>75</v>
      </c>
      <c r="AK25" t="s">
        <v>75</v>
      </c>
      <c r="AL25" t="s">
        <v>75</v>
      </c>
      <c r="AM25" t="s">
        <v>75</v>
      </c>
      <c r="AN25" t="s">
        <v>75</v>
      </c>
      <c r="AO25" t="s">
        <v>75</v>
      </c>
      <c r="AP25" t="s">
        <v>75</v>
      </c>
      <c r="AQ25" t="s">
        <v>75</v>
      </c>
      <c r="AR25" t="s">
        <v>75</v>
      </c>
      <c r="AS25" t="s">
        <v>75</v>
      </c>
      <c r="AT25" t="s">
        <v>75</v>
      </c>
      <c r="AU25" t="s">
        <v>310</v>
      </c>
      <c r="AV25" t="s">
        <v>311</v>
      </c>
      <c r="AW25" t="s">
        <v>309</v>
      </c>
      <c r="AX25" t="s">
        <v>312</v>
      </c>
      <c r="AY25" t="s">
        <v>124</v>
      </c>
      <c r="AZ25" t="s">
        <v>312</v>
      </c>
      <c r="BA25" t="s">
        <v>1313</v>
      </c>
      <c r="BB25" s="13" t="str">
        <f t="shared" si="2"/>
        <v xml:space="preserve"> Vadodara</v>
      </c>
      <c r="BC25" t="s">
        <v>124</v>
      </c>
      <c r="BD25" t="s">
        <v>313</v>
      </c>
      <c r="BE25" t="s">
        <v>81</v>
      </c>
      <c r="BF25" t="s">
        <v>82</v>
      </c>
      <c r="BG25" t="s">
        <v>314</v>
      </c>
      <c r="BH25" t="s">
        <v>73</v>
      </c>
      <c r="BI25" t="s">
        <v>73</v>
      </c>
      <c r="BJ25" t="s">
        <v>73</v>
      </c>
      <c r="BK25" t="s">
        <v>315</v>
      </c>
      <c r="BL25" t="s">
        <v>73</v>
      </c>
      <c r="BM25" s="12">
        <v>74</v>
      </c>
    </row>
    <row r="26" spans="1:65">
      <c r="A26" t="s">
        <v>60</v>
      </c>
      <c r="B26" t="s">
        <v>316</v>
      </c>
      <c r="C26" t="s">
        <v>317</v>
      </c>
      <c r="D26" t="s">
        <v>318</v>
      </c>
      <c r="E26" t="s">
        <v>319</v>
      </c>
      <c r="F26" t="s">
        <v>320</v>
      </c>
      <c r="G26" t="str">
        <f t="shared" si="0"/>
        <v>WHO-MONK-LIFE01</v>
      </c>
      <c r="H26" t="s">
        <v>66</v>
      </c>
      <c r="I26" t="s">
        <v>67</v>
      </c>
      <c r="J26" t="s">
        <v>67</v>
      </c>
      <c r="K26" t="s">
        <v>68</v>
      </c>
      <c r="L26" t="s">
        <v>69</v>
      </c>
      <c r="M26" t="s">
        <v>293</v>
      </c>
      <c r="N26" t="str">
        <f t="shared" si="1"/>
        <v>July</v>
      </c>
      <c r="O26" t="s">
        <v>293</v>
      </c>
      <c r="P26" t="s">
        <v>71</v>
      </c>
      <c r="Q26" t="s">
        <v>72</v>
      </c>
      <c r="R26" t="s">
        <v>73</v>
      </c>
      <c r="S26" t="s">
        <v>321</v>
      </c>
      <c r="T26" t="s">
        <v>75</v>
      </c>
      <c r="U26" t="s">
        <v>75</v>
      </c>
      <c r="V26" t="s">
        <v>75</v>
      </c>
      <c r="W26" t="s">
        <v>321</v>
      </c>
      <c r="X26" t="s">
        <v>75</v>
      </c>
      <c r="Y26" t="s">
        <v>321</v>
      </c>
      <c r="Z26" t="s">
        <v>76</v>
      </c>
      <c r="AA26" t="s">
        <v>321</v>
      </c>
      <c r="AB26" t="s">
        <v>75</v>
      </c>
      <c r="AC26" t="s">
        <v>75</v>
      </c>
      <c r="AD26" t="s">
        <v>75</v>
      </c>
      <c r="AE26" t="s">
        <v>75</v>
      </c>
      <c r="AF26" t="s">
        <v>75</v>
      </c>
      <c r="AG26" t="s">
        <v>75</v>
      </c>
      <c r="AH26" t="s">
        <v>75</v>
      </c>
      <c r="AI26" t="s">
        <v>75</v>
      </c>
      <c r="AJ26" t="s">
        <v>75</v>
      </c>
      <c r="AK26" t="s">
        <v>75</v>
      </c>
      <c r="AL26" t="s">
        <v>75</v>
      </c>
      <c r="AM26" t="s">
        <v>75</v>
      </c>
      <c r="AN26" t="s">
        <v>75</v>
      </c>
      <c r="AO26" t="s">
        <v>75</v>
      </c>
      <c r="AP26" t="s">
        <v>75</v>
      </c>
      <c r="AQ26" t="s">
        <v>75</v>
      </c>
      <c r="AR26" t="s">
        <v>75</v>
      </c>
      <c r="AS26" t="s">
        <v>75</v>
      </c>
      <c r="AT26" t="s">
        <v>75</v>
      </c>
      <c r="AU26" t="s">
        <v>322</v>
      </c>
      <c r="AV26" t="s">
        <v>323</v>
      </c>
      <c r="AW26" t="s">
        <v>321</v>
      </c>
      <c r="AX26" t="s">
        <v>324</v>
      </c>
      <c r="AY26" t="s">
        <v>325</v>
      </c>
      <c r="AZ26" t="s">
        <v>324</v>
      </c>
      <c r="BA26" t="s">
        <v>1314</v>
      </c>
      <c r="BB26" s="13" t="str">
        <f t="shared" si="2"/>
        <v xml:space="preserve"> Kochi</v>
      </c>
      <c r="BC26" t="s">
        <v>325</v>
      </c>
      <c r="BD26" t="s">
        <v>73</v>
      </c>
      <c r="BE26" t="s">
        <v>81</v>
      </c>
      <c r="BF26" t="s">
        <v>82</v>
      </c>
      <c r="BG26" t="s">
        <v>326</v>
      </c>
      <c r="BH26" t="s">
        <v>73</v>
      </c>
      <c r="BI26" t="s">
        <v>73</v>
      </c>
      <c r="BJ26" t="s">
        <v>73</v>
      </c>
      <c r="BK26" t="s">
        <v>327</v>
      </c>
      <c r="BL26" t="s">
        <v>73</v>
      </c>
      <c r="BM26" s="12">
        <v>78</v>
      </c>
    </row>
    <row r="27" spans="1:65">
      <c r="A27" t="s">
        <v>60</v>
      </c>
      <c r="B27" t="s">
        <v>328</v>
      </c>
      <c r="C27" t="s">
        <v>329</v>
      </c>
      <c r="D27" t="s">
        <v>330</v>
      </c>
      <c r="E27" t="s">
        <v>331</v>
      </c>
      <c r="F27" t="s">
        <v>332</v>
      </c>
      <c r="G27" t="str">
        <f t="shared" si="0"/>
        <v>T-F-A-S</v>
      </c>
      <c r="H27" t="s">
        <v>66</v>
      </c>
      <c r="I27" t="s">
        <v>67</v>
      </c>
      <c r="J27" t="s">
        <v>67</v>
      </c>
      <c r="K27" t="s">
        <v>68</v>
      </c>
      <c r="L27" t="s">
        <v>69</v>
      </c>
      <c r="M27" t="s">
        <v>333</v>
      </c>
      <c r="N27" t="str">
        <f t="shared" si="1"/>
        <v>July</v>
      </c>
      <c r="O27" t="s">
        <v>333</v>
      </c>
      <c r="P27" t="s">
        <v>71</v>
      </c>
      <c r="Q27" t="s">
        <v>72</v>
      </c>
      <c r="R27" t="s">
        <v>73</v>
      </c>
      <c r="S27" t="s">
        <v>142</v>
      </c>
      <c r="T27" t="s">
        <v>75</v>
      </c>
      <c r="U27" t="s">
        <v>75</v>
      </c>
      <c r="V27" t="s">
        <v>75</v>
      </c>
      <c r="W27" t="s">
        <v>142</v>
      </c>
      <c r="X27" t="s">
        <v>75</v>
      </c>
      <c r="Y27" t="s">
        <v>142</v>
      </c>
      <c r="Z27" t="s">
        <v>76</v>
      </c>
      <c r="AA27" t="s">
        <v>142</v>
      </c>
      <c r="AB27" t="s">
        <v>75</v>
      </c>
      <c r="AC27" t="s">
        <v>75</v>
      </c>
      <c r="AD27" t="s">
        <v>75</v>
      </c>
      <c r="AE27" t="s">
        <v>75</v>
      </c>
      <c r="AF27" t="s">
        <v>75</v>
      </c>
      <c r="AG27" t="s">
        <v>75</v>
      </c>
      <c r="AH27" t="s">
        <v>75</v>
      </c>
      <c r="AI27" t="s">
        <v>75</v>
      </c>
      <c r="AJ27" t="s">
        <v>75</v>
      </c>
      <c r="AK27" t="s">
        <v>75</v>
      </c>
      <c r="AL27" t="s">
        <v>75</v>
      </c>
      <c r="AM27" t="s">
        <v>75</v>
      </c>
      <c r="AN27" t="s">
        <v>75</v>
      </c>
      <c r="AO27" t="s">
        <v>75</v>
      </c>
      <c r="AP27" t="s">
        <v>75</v>
      </c>
      <c r="AQ27" t="s">
        <v>75</v>
      </c>
      <c r="AR27" t="s">
        <v>75</v>
      </c>
      <c r="AS27" t="s">
        <v>75</v>
      </c>
      <c r="AT27" t="s">
        <v>75</v>
      </c>
      <c r="AU27" t="s">
        <v>334</v>
      </c>
      <c r="AV27" t="s">
        <v>210</v>
      </c>
      <c r="AW27" t="s">
        <v>142</v>
      </c>
      <c r="AX27" t="s">
        <v>335</v>
      </c>
      <c r="AY27" t="s">
        <v>147</v>
      </c>
      <c r="AZ27" t="s">
        <v>335</v>
      </c>
      <c r="BA27" t="s">
        <v>1315</v>
      </c>
      <c r="BB27" s="13" t="str">
        <f t="shared" si="2"/>
        <v xml:space="preserve"> Dibrugarh</v>
      </c>
      <c r="BC27" t="s">
        <v>147</v>
      </c>
      <c r="BD27" t="s">
        <v>73</v>
      </c>
      <c r="BE27" t="s">
        <v>81</v>
      </c>
      <c r="BF27" t="s">
        <v>82</v>
      </c>
      <c r="BG27" t="s">
        <v>148</v>
      </c>
      <c r="BH27" t="s">
        <v>73</v>
      </c>
      <c r="BI27" t="s">
        <v>73</v>
      </c>
      <c r="BJ27" t="s">
        <v>73</v>
      </c>
      <c r="BK27" t="s">
        <v>336</v>
      </c>
      <c r="BL27" t="s">
        <v>73</v>
      </c>
      <c r="BM27" s="12">
        <v>85</v>
      </c>
    </row>
    <row r="28" spans="1:65">
      <c r="A28" t="s">
        <v>60</v>
      </c>
      <c r="B28" t="s">
        <v>337</v>
      </c>
      <c r="C28" t="s">
        <v>338</v>
      </c>
      <c r="D28" t="s">
        <v>87</v>
      </c>
      <c r="E28" t="s">
        <v>88</v>
      </c>
      <c r="F28" t="s">
        <v>89</v>
      </c>
      <c r="G28" t="str">
        <f t="shared" si="0"/>
        <v>ALCHEMIST01</v>
      </c>
      <c r="H28" t="s">
        <v>66</v>
      </c>
      <c r="I28" t="s">
        <v>67</v>
      </c>
      <c r="J28" t="s">
        <v>67</v>
      </c>
      <c r="K28" t="s">
        <v>140</v>
      </c>
      <c r="L28" t="s">
        <v>69</v>
      </c>
      <c r="M28" t="s">
        <v>339</v>
      </c>
      <c r="N28" t="str">
        <f t="shared" si="1"/>
        <v>July</v>
      </c>
      <c r="O28" t="s">
        <v>339</v>
      </c>
      <c r="P28" t="s">
        <v>71</v>
      </c>
      <c r="Q28" t="s">
        <v>72</v>
      </c>
      <c r="R28" t="s">
        <v>73</v>
      </c>
      <c r="S28" t="s">
        <v>340</v>
      </c>
      <c r="T28" t="s">
        <v>75</v>
      </c>
      <c r="U28" t="s">
        <v>75</v>
      </c>
      <c r="V28" t="s">
        <v>75</v>
      </c>
      <c r="W28" t="s">
        <v>340</v>
      </c>
      <c r="X28" t="s">
        <v>75</v>
      </c>
      <c r="Y28" t="s">
        <v>340</v>
      </c>
      <c r="Z28" t="s">
        <v>76</v>
      </c>
      <c r="AA28" t="s">
        <v>340</v>
      </c>
      <c r="AB28" t="s">
        <v>75</v>
      </c>
      <c r="AC28" t="s">
        <v>75</v>
      </c>
      <c r="AD28" t="s">
        <v>75</v>
      </c>
      <c r="AE28" t="s">
        <v>75</v>
      </c>
      <c r="AF28" t="s">
        <v>75</v>
      </c>
      <c r="AG28" t="s">
        <v>75</v>
      </c>
      <c r="AH28" t="s">
        <v>75</v>
      </c>
      <c r="AI28" t="s">
        <v>75</v>
      </c>
      <c r="AJ28" t="s">
        <v>75</v>
      </c>
      <c r="AK28" t="s">
        <v>75</v>
      </c>
      <c r="AL28" t="s">
        <v>75</v>
      </c>
      <c r="AM28" t="s">
        <v>75</v>
      </c>
      <c r="AN28" t="s">
        <v>75</v>
      </c>
      <c r="AO28" t="s">
        <v>75</v>
      </c>
      <c r="AP28" t="s">
        <v>75</v>
      </c>
      <c r="AQ28" t="s">
        <v>75</v>
      </c>
      <c r="AR28" t="s">
        <v>75</v>
      </c>
      <c r="AS28" t="s">
        <v>75</v>
      </c>
      <c r="AT28" t="s">
        <v>75</v>
      </c>
      <c r="AU28" t="s">
        <v>341</v>
      </c>
      <c r="AV28" t="s">
        <v>342</v>
      </c>
      <c r="AW28" t="s">
        <v>340</v>
      </c>
      <c r="AX28" t="s">
        <v>343</v>
      </c>
      <c r="AY28" t="s">
        <v>107</v>
      </c>
      <c r="AZ28" t="s">
        <v>343</v>
      </c>
      <c r="BA28" t="s">
        <v>1316</v>
      </c>
      <c r="BB28" s="13" t="str">
        <f t="shared" si="2"/>
        <v xml:space="preserve"> Moradabad</v>
      </c>
      <c r="BC28" t="s">
        <v>107</v>
      </c>
      <c r="BD28" t="s">
        <v>186</v>
      </c>
      <c r="BE28" t="s">
        <v>81</v>
      </c>
      <c r="BF28" t="s">
        <v>82</v>
      </c>
      <c r="BG28" t="s">
        <v>344</v>
      </c>
      <c r="BH28" t="s">
        <v>73</v>
      </c>
      <c r="BI28" t="s">
        <v>73</v>
      </c>
      <c r="BJ28" t="s">
        <v>73</v>
      </c>
      <c r="BK28" t="s">
        <v>345</v>
      </c>
      <c r="BL28" t="s">
        <v>73</v>
      </c>
      <c r="BM28" s="12">
        <v>72</v>
      </c>
    </row>
    <row r="29" spans="1:65">
      <c r="A29" t="s">
        <v>60</v>
      </c>
      <c r="B29" t="s">
        <v>346</v>
      </c>
      <c r="C29" t="s">
        <v>347</v>
      </c>
      <c r="D29" t="s">
        <v>348</v>
      </c>
      <c r="E29" t="s">
        <v>349</v>
      </c>
      <c r="F29" t="s">
        <v>350</v>
      </c>
      <c r="G29" t="str">
        <f t="shared" si="0"/>
        <v>7HABITS07</v>
      </c>
      <c r="H29" t="s">
        <v>66</v>
      </c>
      <c r="I29" t="s">
        <v>67</v>
      </c>
      <c r="J29" t="s">
        <v>67</v>
      </c>
      <c r="K29" t="s">
        <v>140</v>
      </c>
      <c r="L29" t="s">
        <v>69</v>
      </c>
      <c r="M29" t="s">
        <v>351</v>
      </c>
      <c r="N29" t="str">
        <f t="shared" si="1"/>
        <v>July</v>
      </c>
      <c r="O29" t="s">
        <v>351</v>
      </c>
      <c r="P29" t="s">
        <v>71</v>
      </c>
      <c r="Q29" t="s">
        <v>72</v>
      </c>
      <c r="R29" t="s">
        <v>73</v>
      </c>
      <c r="S29" t="s">
        <v>294</v>
      </c>
      <c r="T29" t="s">
        <v>75</v>
      </c>
      <c r="U29" t="s">
        <v>75</v>
      </c>
      <c r="V29" t="s">
        <v>75</v>
      </c>
      <c r="W29" t="s">
        <v>294</v>
      </c>
      <c r="X29" t="s">
        <v>75</v>
      </c>
      <c r="Y29" t="s">
        <v>294</v>
      </c>
      <c r="Z29" t="s">
        <v>76</v>
      </c>
      <c r="AA29" t="s">
        <v>294</v>
      </c>
      <c r="AB29" t="s">
        <v>75</v>
      </c>
      <c r="AC29" t="s">
        <v>75</v>
      </c>
      <c r="AD29" t="s">
        <v>75</v>
      </c>
      <c r="AE29" t="s">
        <v>75</v>
      </c>
      <c r="AF29" t="s">
        <v>75</v>
      </c>
      <c r="AG29" t="s">
        <v>75</v>
      </c>
      <c r="AH29" t="s">
        <v>75</v>
      </c>
      <c r="AI29" t="s">
        <v>75</v>
      </c>
      <c r="AJ29" t="s">
        <v>75</v>
      </c>
      <c r="AK29" t="s">
        <v>75</v>
      </c>
      <c r="AL29" t="s">
        <v>75</v>
      </c>
      <c r="AM29" t="s">
        <v>75</v>
      </c>
      <c r="AN29" t="s">
        <v>75</v>
      </c>
      <c r="AO29" t="s">
        <v>75</v>
      </c>
      <c r="AP29" t="s">
        <v>75</v>
      </c>
      <c r="AQ29" t="s">
        <v>75</v>
      </c>
      <c r="AR29" t="s">
        <v>75</v>
      </c>
      <c r="AS29" t="s">
        <v>75</v>
      </c>
      <c r="AT29" t="s">
        <v>75</v>
      </c>
      <c r="AU29" t="s">
        <v>352</v>
      </c>
      <c r="AV29" t="s">
        <v>353</v>
      </c>
      <c r="AW29" t="s">
        <v>294</v>
      </c>
      <c r="AX29" t="s">
        <v>354</v>
      </c>
      <c r="AY29" t="s">
        <v>355</v>
      </c>
      <c r="AZ29" t="s">
        <v>354</v>
      </c>
      <c r="BA29" t="s">
        <v>1317</v>
      </c>
      <c r="BB29" s="13" t="str">
        <f t="shared" si="2"/>
        <v xml:space="preserve"> Vijayawada</v>
      </c>
      <c r="BC29" t="s">
        <v>355</v>
      </c>
      <c r="BD29" t="s">
        <v>198</v>
      </c>
      <c r="BE29" t="s">
        <v>81</v>
      </c>
      <c r="BF29" t="s">
        <v>82</v>
      </c>
      <c r="BG29" t="s">
        <v>299</v>
      </c>
      <c r="BH29" t="s">
        <v>73</v>
      </c>
      <c r="BI29" t="s">
        <v>73</v>
      </c>
      <c r="BJ29" t="s">
        <v>73</v>
      </c>
      <c r="BK29" t="s">
        <v>356</v>
      </c>
      <c r="BL29" t="s">
        <v>73</v>
      </c>
      <c r="BM29" s="12">
        <v>90</v>
      </c>
    </row>
    <row r="30" spans="1:65">
      <c r="A30" t="s">
        <v>60</v>
      </c>
      <c r="B30" t="s">
        <v>357</v>
      </c>
      <c r="C30" t="s">
        <v>358</v>
      </c>
      <c r="D30" t="s">
        <v>63</v>
      </c>
      <c r="E30" t="s">
        <v>64</v>
      </c>
      <c r="F30" t="s">
        <v>65</v>
      </c>
      <c r="G30" t="str">
        <f t="shared" si="0"/>
        <v>CANT-ME</v>
      </c>
      <c r="H30" t="s">
        <v>66</v>
      </c>
      <c r="I30" t="s">
        <v>67</v>
      </c>
      <c r="J30" t="s">
        <v>67</v>
      </c>
      <c r="K30" t="s">
        <v>68</v>
      </c>
      <c r="L30" t="s">
        <v>69</v>
      </c>
      <c r="M30" t="s">
        <v>359</v>
      </c>
      <c r="N30" t="str">
        <f t="shared" si="1"/>
        <v>July</v>
      </c>
      <c r="O30" t="s">
        <v>359</v>
      </c>
      <c r="P30" t="s">
        <v>71</v>
      </c>
      <c r="Q30" t="s">
        <v>72</v>
      </c>
      <c r="R30" t="s">
        <v>73</v>
      </c>
      <c r="S30" t="s">
        <v>74</v>
      </c>
      <c r="T30" t="s">
        <v>75</v>
      </c>
      <c r="U30" t="s">
        <v>75</v>
      </c>
      <c r="V30" t="s">
        <v>75</v>
      </c>
      <c r="W30" t="s">
        <v>74</v>
      </c>
      <c r="X30" t="s">
        <v>75</v>
      </c>
      <c r="Y30" t="s">
        <v>74</v>
      </c>
      <c r="Z30" t="s">
        <v>76</v>
      </c>
      <c r="AA30" t="s">
        <v>74</v>
      </c>
      <c r="AB30" t="s">
        <v>75</v>
      </c>
      <c r="AC30" t="s">
        <v>75</v>
      </c>
      <c r="AD30" t="s">
        <v>75</v>
      </c>
      <c r="AE30" t="s">
        <v>75</v>
      </c>
      <c r="AF30" t="s">
        <v>75</v>
      </c>
      <c r="AG30" t="s">
        <v>75</v>
      </c>
      <c r="AH30" t="s">
        <v>75</v>
      </c>
      <c r="AI30" t="s">
        <v>75</v>
      </c>
      <c r="AJ30" t="s">
        <v>75</v>
      </c>
      <c r="AK30" t="s">
        <v>75</v>
      </c>
      <c r="AL30" t="s">
        <v>75</v>
      </c>
      <c r="AM30" t="s">
        <v>75</v>
      </c>
      <c r="AN30" t="s">
        <v>75</v>
      </c>
      <c r="AO30" t="s">
        <v>75</v>
      </c>
      <c r="AP30" t="s">
        <v>75</v>
      </c>
      <c r="AQ30" t="s">
        <v>75</v>
      </c>
      <c r="AR30" t="s">
        <v>75</v>
      </c>
      <c r="AS30" t="s">
        <v>75</v>
      </c>
      <c r="AT30" t="s">
        <v>75</v>
      </c>
      <c r="AU30" t="s">
        <v>360</v>
      </c>
      <c r="AV30" t="s">
        <v>361</v>
      </c>
      <c r="AW30" t="s">
        <v>74</v>
      </c>
      <c r="AX30" t="s">
        <v>362</v>
      </c>
      <c r="AY30" t="s">
        <v>124</v>
      </c>
      <c r="AZ30" t="s">
        <v>362</v>
      </c>
      <c r="BA30" t="s">
        <v>1318</v>
      </c>
      <c r="BB30" s="13" t="str">
        <f t="shared" si="2"/>
        <v xml:space="preserve"> Rajkot</v>
      </c>
      <c r="BC30" t="s">
        <v>124</v>
      </c>
      <c r="BD30" t="s">
        <v>73</v>
      </c>
      <c r="BE30" t="s">
        <v>81</v>
      </c>
      <c r="BF30" t="s">
        <v>82</v>
      </c>
      <c r="BG30" t="s">
        <v>83</v>
      </c>
      <c r="BH30" t="s">
        <v>73</v>
      </c>
      <c r="BI30" t="s">
        <v>73</v>
      </c>
      <c r="BJ30" t="s">
        <v>73</v>
      </c>
      <c r="BK30" t="s">
        <v>363</v>
      </c>
      <c r="BL30" t="s">
        <v>73</v>
      </c>
      <c r="BM30" s="12">
        <v>76</v>
      </c>
    </row>
    <row r="31" spans="1:65">
      <c r="A31" t="s">
        <v>60</v>
      </c>
      <c r="B31" t="s">
        <v>364</v>
      </c>
      <c r="C31" t="s">
        <v>365</v>
      </c>
      <c r="D31" t="s">
        <v>63</v>
      </c>
      <c r="E31" t="s">
        <v>64</v>
      </c>
      <c r="F31" t="s">
        <v>65</v>
      </c>
      <c r="G31" t="str">
        <f t="shared" si="0"/>
        <v>CANT-ME</v>
      </c>
      <c r="H31" t="s">
        <v>66</v>
      </c>
      <c r="I31" t="s">
        <v>67</v>
      </c>
      <c r="J31" t="s">
        <v>67</v>
      </c>
      <c r="K31" t="s">
        <v>140</v>
      </c>
      <c r="L31" t="s">
        <v>69</v>
      </c>
      <c r="M31" t="s">
        <v>359</v>
      </c>
      <c r="N31" t="str">
        <f t="shared" si="1"/>
        <v>July</v>
      </c>
      <c r="O31" t="s">
        <v>359</v>
      </c>
      <c r="P31" t="s">
        <v>71</v>
      </c>
      <c r="Q31" t="s">
        <v>72</v>
      </c>
      <c r="R31" t="s">
        <v>73</v>
      </c>
      <c r="S31" t="s">
        <v>74</v>
      </c>
      <c r="T31" t="s">
        <v>366</v>
      </c>
      <c r="U31" t="s">
        <v>75</v>
      </c>
      <c r="V31" t="s">
        <v>366</v>
      </c>
      <c r="W31" t="s">
        <v>367</v>
      </c>
      <c r="X31" t="s">
        <v>75</v>
      </c>
      <c r="Y31" t="s">
        <v>367</v>
      </c>
      <c r="Z31" t="s">
        <v>76</v>
      </c>
      <c r="AA31" t="s">
        <v>367</v>
      </c>
      <c r="AB31" t="s">
        <v>75</v>
      </c>
      <c r="AC31" t="s">
        <v>75</v>
      </c>
      <c r="AD31" t="s">
        <v>75</v>
      </c>
      <c r="AE31" t="s">
        <v>75</v>
      </c>
      <c r="AF31" t="s">
        <v>75</v>
      </c>
      <c r="AG31" t="s">
        <v>75</v>
      </c>
      <c r="AH31" t="s">
        <v>75</v>
      </c>
      <c r="AI31" t="s">
        <v>75</v>
      </c>
      <c r="AJ31" t="s">
        <v>75</v>
      </c>
      <c r="AK31" t="s">
        <v>75</v>
      </c>
      <c r="AL31" t="s">
        <v>75</v>
      </c>
      <c r="AM31" t="s">
        <v>75</v>
      </c>
      <c r="AN31" t="s">
        <v>75</v>
      </c>
      <c r="AO31" t="s">
        <v>75</v>
      </c>
      <c r="AP31" t="s">
        <v>75</v>
      </c>
      <c r="AQ31" t="s">
        <v>75</v>
      </c>
      <c r="AR31" t="s">
        <v>75</v>
      </c>
      <c r="AS31" t="s">
        <v>75</v>
      </c>
      <c r="AT31" t="s">
        <v>75</v>
      </c>
      <c r="AU31" t="s">
        <v>368</v>
      </c>
      <c r="AV31" t="s">
        <v>361</v>
      </c>
      <c r="AW31" t="s">
        <v>367</v>
      </c>
      <c r="AX31" t="s">
        <v>369</v>
      </c>
      <c r="AY31" t="s">
        <v>126</v>
      </c>
      <c r="AZ31" t="s">
        <v>369</v>
      </c>
      <c r="BA31" t="s">
        <v>1319</v>
      </c>
      <c r="BB31" s="13" t="str">
        <f t="shared" si="2"/>
        <v xml:space="preserve"> Coimbatore</v>
      </c>
      <c r="BC31" t="s">
        <v>126</v>
      </c>
      <c r="BD31" t="s">
        <v>73</v>
      </c>
      <c r="BE31" t="s">
        <v>81</v>
      </c>
      <c r="BF31" t="s">
        <v>82</v>
      </c>
      <c r="BG31" t="s">
        <v>370</v>
      </c>
      <c r="BH31" t="s">
        <v>73</v>
      </c>
      <c r="BI31" t="s">
        <v>73</v>
      </c>
      <c r="BJ31" t="s">
        <v>73</v>
      </c>
      <c r="BK31" t="s">
        <v>371</v>
      </c>
      <c r="BL31" t="s">
        <v>73</v>
      </c>
      <c r="BM31" s="12">
        <v>81</v>
      </c>
    </row>
    <row r="32" spans="1:65">
      <c r="A32" t="s">
        <v>60</v>
      </c>
      <c r="B32" t="s">
        <v>372</v>
      </c>
      <c r="C32" t="s">
        <v>373</v>
      </c>
      <c r="D32" t="s">
        <v>348</v>
      </c>
      <c r="E32" t="s">
        <v>349</v>
      </c>
      <c r="F32" t="s">
        <v>350</v>
      </c>
      <c r="G32" t="str">
        <f t="shared" si="0"/>
        <v>7HABITS07</v>
      </c>
      <c r="H32" t="s">
        <v>66</v>
      </c>
      <c r="I32" t="s">
        <v>67</v>
      </c>
      <c r="J32" t="s">
        <v>67</v>
      </c>
      <c r="K32" t="s">
        <v>68</v>
      </c>
      <c r="L32" t="s">
        <v>69</v>
      </c>
      <c r="M32" t="s">
        <v>266</v>
      </c>
      <c r="N32" t="str">
        <f t="shared" si="1"/>
        <v>July</v>
      </c>
      <c r="O32" t="s">
        <v>266</v>
      </c>
      <c r="P32" t="s">
        <v>71</v>
      </c>
      <c r="Q32" t="s">
        <v>72</v>
      </c>
      <c r="R32" t="s">
        <v>73</v>
      </c>
      <c r="S32" t="s">
        <v>294</v>
      </c>
      <c r="T32" t="s">
        <v>75</v>
      </c>
      <c r="U32" t="s">
        <v>75</v>
      </c>
      <c r="V32" t="s">
        <v>75</v>
      </c>
      <c r="W32" t="s">
        <v>294</v>
      </c>
      <c r="X32" t="s">
        <v>75</v>
      </c>
      <c r="Y32" t="s">
        <v>294</v>
      </c>
      <c r="Z32" t="s">
        <v>76</v>
      </c>
      <c r="AA32" t="s">
        <v>294</v>
      </c>
      <c r="AB32" t="s">
        <v>75</v>
      </c>
      <c r="AC32" t="s">
        <v>75</v>
      </c>
      <c r="AD32" t="s">
        <v>75</v>
      </c>
      <c r="AE32" t="s">
        <v>75</v>
      </c>
      <c r="AF32" t="s">
        <v>75</v>
      </c>
      <c r="AG32" t="s">
        <v>75</v>
      </c>
      <c r="AH32" t="s">
        <v>75</v>
      </c>
      <c r="AI32" t="s">
        <v>75</v>
      </c>
      <c r="AJ32" t="s">
        <v>75</v>
      </c>
      <c r="AK32" t="s">
        <v>75</v>
      </c>
      <c r="AL32" t="s">
        <v>75</v>
      </c>
      <c r="AM32" t="s">
        <v>75</v>
      </c>
      <c r="AN32" t="s">
        <v>75</v>
      </c>
      <c r="AO32" t="s">
        <v>75</v>
      </c>
      <c r="AP32" t="s">
        <v>75</v>
      </c>
      <c r="AQ32" t="s">
        <v>75</v>
      </c>
      <c r="AR32" t="s">
        <v>75</v>
      </c>
      <c r="AS32" t="s">
        <v>75</v>
      </c>
      <c r="AT32" t="s">
        <v>75</v>
      </c>
      <c r="AU32" t="s">
        <v>374</v>
      </c>
      <c r="AV32" t="s">
        <v>296</v>
      </c>
      <c r="AW32" t="s">
        <v>294</v>
      </c>
      <c r="AX32" t="s">
        <v>375</v>
      </c>
      <c r="AY32" t="s">
        <v>80</v>
      </c>
      <c r="AZ32" t="s">
        <v>375</v>
      </c>
      <c r="BA32" t="s">
        <v>1320</v>
      </c>
      <c r="BB32" s="13" t="str">
        <f t="shared" si="2"/>
        <v xml:space="preserve"> Bengaluru</v>
      </c>
      <c r="BC32" t="s">
        <v>80</v>
      </c>
      <c r="BD32" t="s">
        <v>198</v>
      </c>
      <c r="BE32" t="s">
        <v>81</v>
      </c>
      <c r="BF32" t="s">
        <v>82</v>
      </c>
      <c r="BG32" t="s">
        <v>299</v>
      </c>
      <c r="BH32" t="s">
        <v>73</v>
      </c>
      <c r="BI32" t="s">
        <v>73</v>
      </c>
      <c r="BJ32" t="s">
        <v>73</v>
      </c>
      <c r="BK32" t="s">
        <v>376</v>
      </c>
      <c r="BL32" t="s">
        <v>73</v>
      </c>
      <c r="BM32" s="12">
        <v>79</v>
      </c>
    </row>
    <row r="33" spans="1:65">
      <c r="A33" t="s">
        <v>60</v>
      </c>
      <c r="B33" t="s">
        <v>264</v>
      </c>
      <c r="C33" t="s">
        <v>265</v>
      </c>
      <c r="D33" t="s">
        <v>112</v>
      </c>
      <c r="E33" t="s">
        <v>113</v>
      </c>
      <c r="F33" t="s">
        <v>114</v>
      </c>
      <c r="G33" t="str">
        <f t="shared" si="0"/>
        <v>CANT02</v>
      </c>
      <c r="H33" t="s">
        <v>66</v>
      </c>
      <c r="I33" t="s">
        <v>67</v>
      </c>
      <c r="J33" t="s">
        <v>67</v>
      </c>
      <c r="K33" t="s">
        <v>140</v>
      </c>
      <c r="L33" t="s">
        <v>69</v>
      </c>
      <c r="M33" t="s">
        <v>266</v>
      </c>
      <c r="N33" t="str">
        <f t="shared" si="1"/>
        <v>July</v>
      </c>
      <c r="O33" t="s">
        <v>266</v>
      </c>
      <c r="P33" t="s">
        <v>71</v>
      </c>
      <c r="Q33" t="s">
        <v>72</v>
      </c>
      <c r="R33" t="s">
        <v>73</v>
      </c>
      <c r="S33" t="s">
        <v>74</v>
      </c>
      <c r="T33" t="s">
        <v>75</v>
      </c>
      <c r="U33" t="s">
        <v>75</v>
      </c>
      <c r="V33" t="s">
        <v>75</v>
      </c>
      <c r="W33" t="s">
        <v>74</v>
      </c>
      <c r="X33" t="s">
        <v>75</v>
      </c>
      <c r="Y33" t="s">
        <v>74</v>
      </c>
      <c r="Z33" t="s">
        <v>76</v>
      </c>
      <c r="AA33" t="s">
        <v>74</v>
      </c>
      <c r="AB33" t="s">
        <v>75</v>
      </c>
      <c r="AC33" t="s">
        <v>75</v>
      </c>
      <c r="AD33" t="s">
        <v>75</v>
      </c>
      <c r="AE33" t="s">
        <v>75</v>
      </c>
      <c r="AF33" t="s">
        <v>75</v>
      </c>
      <c r="AG33" t="s">
        <v>75</v>
      </c>
      <c r="AH33" t="s">
        <v>75</v>
      </c>
      <c r="AI33" t="s">
        <v>75</v>
      </c>
      <c r="AJ33" t="s">
        <v>75</v>
      </c>
      <c r="AK33" t="s">
        <v>75</v>
      </c>
      <c r="AL33" t="s">
        <v>75</v>
      </c>
      <c r="AM33" t="s">
        <v>75</v>
      </c>
      <c r="AN33" t="s">
        <v>75</v>
      </c>
      <c r="AO33" t="s">
        <v>75</v>
      </c>
      <c r="AP33" t="s">
        <v>75</v>
      </c>
      <c r="AQ33" t="s">
        <v>75</v>
      </c>
      <c r="AR33" t="s">
        <v>75</v>
      </c>
      <c r="AS33" t="s">
        <v>75</v>
      </c>
      <c r="AT33" t="s">
        <v>75</v>
      </c>
      <c r="AU33" t="s">
        <v>377</v>
      </c>
      <c r="AV33" t="s">
        <v>296</v>
      </c>
      <c r="AW33" t="s">
        <v>74</v>
      </c>
      <c r="AX33" t="s">
        <v>270</v>
      </c>
      <c r="AY33" t="s">
        <v>117</v>
      </c>
      <c r="AZ33" t="s">
        <v>270</v>
      </c>
      <c r="BA33" t="s">
        <v>1309</v>
      </c>
      <c r="BB33" s="13" t="str">
        <f t="shared" si="2"/>
        <v xml:space="preserve"> Ratnagiri</v>
      </c>
      <c r="BC33" t="s">
        <v>117</v>
      </c>
      <c r="BD33" t="s">
        <v>73</v>
      </c>
      <c r="BE33" t="s">
        <v>81</v>
      </c>
      <c r="BF33" t="s">
        <v>82</v>
      </c>
      <c r="BG33" t="s">
        <v>83</v>
      </c>
      <c r="BH33" t="s">
        <v>73</v>
      </c>
      <c r="BI33" t="s">
        <v>73</v>
      </c>
      <c r="BJ33" t="s">
        <v>73</v>
      </c>
      <c r="BK33" t="s">
        <v>271</v>
      </c>
      <c r="BL33" t="s">
        <v>73</v>
      </c>
      <c r="BM33" s="12">
        <v>88</v>
      </c>
    </row>
    <row r="34" spans="1:65">
      <c r="A34" t="s">
        <v>60</v>
      </c>
      <c r="B34" t="s">
        <v>378</v>
      </c>
      <c r="C34" t="s">
        <v>379</v>
      </c>
      <c r="D34" t="s">
        <v>380</v>
      </c>
      <c r="E34" t="s">
        <v>381</v>
      </c>
      <c r="F34" t="s">
        <v>382</v>
      </c>
      <c r="G34" t="str">
        <f t="shared" si="0"/>
        <v>5AM-01</v>
      </c>
      <c r="H34" t="s">
        <v>66</v>
      </c>
      <c r="I34" t="s">
        <v>67</v>
      </c>
      <c r="J34" t="s">
        <v>67</v>
      </c>
      <c r="K34" t="s">
        <v>140</v>
      </c>
      <c r="L34" t="s">
        <v>69</v>
      </c>
      <c r="M34" t="s">
        <v>266</v>
      </c>
      <c r="N34" t="str">
        <f t="shared" si="1"/>
        <v>July</v>
      </c>
      <c r="O34" t="s">
        <v>266</v>
      </c>
      <c r="P34" t="s">
        <v>71</v>
      </c>
      <c r="Q34" t="s">
        <v>72</v>
      </c>
      <c r="R34" t="s">
        <v>73</v>
      </c>
      <c r="S34" t="s">
        <v>383</v>
      </c>
      <c r="T34" t="s">
        <v>75</v>
      </c>
      <c r="U34" t="s">
        <v>75</v>
      </c>
      <c r="V34" t="s">
        <v>75</v>
      </c>
      <c r="W34" t="s">
        <v>383</v>
      </c>
      <c r="X34" t="s">
        <v>75</v>
      </c>
      <c r="Y34" t="s">
        <v>383</v>
      </c>
      <c r="Z34" t="s">
        <v>76</v>
      </c>
      <c r="AA34" t="s">
        <v>383</v>
      </c>
      <c r="AB34" t="s">
        <v>75</v>
      </c>
      <c r="AC34" t="s">
        <v>75</v>
      </c>
      <c r="AD34" t="s">
        <v>75</v>
      </c>
      <c r="AE34" t="s">
        <v>75</v>
      </c>
      <c r="AF34" t="s">
        <v>75</v>
      </c>
      <c r="AG34" t="s">
        <v>75</v>
      </c>
      <c r="AH34" t="s">
        <v>75</v>
      </c>
      <c r="AI34" t="s">
        <v>75</v>
      </c>
      <c r="AJ34" t="s">
        <v>75</v>
      </c>
      <c r="AK34" t="s">
        <v>75</v>
      </c>
      <c r="AL34" t="s">
        <v>75</v>
      </c>
      <c r="AM34" t="s">
        <v>75</v>
      </c>
      <c r="AN34" t="s">
        <v>75</v>
      </c>
      <c r="AO34" t="s">
        <v>75</v>
      </c>
      <c r="AP34" t="s">
        <v>75</v>
      </c>
      <c r="AQ34" t="s">
        <v>75</v>
      </c>
      <c r="AR34" t="s">
        <v>75</v>
      </c>
      <c r="AS34" t="s">
        <v>75</v>
      </c>
      <c r="AT34" t="s">
        <v>75</v>
      </c>
      <c r="AU34" t="s">
        <v>384</v>
      </c>
      <c r="AV34" t="s">
        <v>296</v>
      </c>
      <c r="AW34" t="s">
        <v>383</v>
      </c>
      <c r="AX34" t="s">
        <v>385</v>
      </c>
      <c r="AY34" t="s">
        <v>80</v>
      </c>
      <c r="AZ34" t="s">
        <v>385</v>
      </c>
      <c r="BA34" s="13" t="s">
        <v>1321</v>
      </c>
      <c r="BB34" s="13" t="str">
        <f t="shared" si="2"/>
        <v xml:space="preserve"> Belagavi</v>
      </c>
      <c r="BC34" t="s">
        <v>80</v>
      </c>
      <c r="BD34" t="s">
        <v>169</v>
      </c>
      <c r="BE34" t="s">
        <v>81</v>
      </c>
      <c r="BF34" t="s">
        <v>82</v>
      </c>
      <c r="BG34" t="s">
        <v>386</v>
      </c>
      <c r="BH34" t="s">
        <v>73</v>
      </c>
      <c r="BI34" t="s">
        <v>73</v>
      </c>
      <c r="BJ34" t="s">
        <v>73</v>
      </c>
      <c r="BK34" t="s">
        <v>387</v>
      </c>
      <c r="BL34" t="s">
        <v>73</v>
      </c>
      <c r="BM34" s="12">
        <v>75</v>
      </c>
    </row>
    <row r="35" spans="1:65">
      <c r="A35" t="s">
        <v>60</v>
      </c>
      <c r="B35" t="s">
        <v>388</v>
      </c>
      <c r="C35" t="s">
        <v>389</v>
      </c>
      <c r="D35" t="s">
        <v>390</v>
      </c>
      <c r="E35" t="s">
        <v>391</v>
      </c>
      <c r="F35" t="s">
        <v>392</v>
      </c>
      <c r="G35" t="str">
        <f t="shared" si="0"/>
        <v>ONEUP</v>
      </c>
      <c r="H35" t="s">
        <v>66</v>
      </c>
      <c r="I35" t="s">
        <v>67</v>
      </c>
      <c r="J35" t="s">
        <v>67</v>
      </c>
      <c r="K35" t="s">
        <v>68</v>
      </c>
      <c r="L35" t="s">
        <v>69</v>
      </c>
      <c r="M35" t="s">
        <v>141</v>
      </c>
      <c r="N35" t="str">
        <f t="shared" si="1"/>
        <v>July</v>
      </c>
      <c r="O35" t="s">
        <v>141</v>
      </c>
      <c r="P35" t="s">
        <v>71</v>
      </c>
      <c r="Q35" t="s">
        <v>72</v>
      </c>
      <c r="R35" t="s">
        <v>73</v>
      </c>
      <c r="S35" t="s">
        <v>142</v>
      </c>
      <c r="T35" t="s">
        <v>75</v>
      </c>
      <c r="U35" t="s">
        <v>75</v>
      </c>
      <c r="V35" t="s">
        <v>75</v>
      </c>
      <c r="W35" t="s">
        <v>142</v>
      </c>
      <c r="X35" t="s">
        <v>75</v>
      </c>
      <c r="Y35" t="s">
        <v>142</v>
      </c>
      <c r="Z35" t="s">
        <v>76</v>
      </c>
      <c r="AA35" t="s">
        <v>142</v>
      </c>
      <c r="AB35" t="s">
        <v>75</v>
      </c>
      <c r="AC35" t="s">
        <v>75</v>
      </c>
      <c r="AD35" t="s">
        <v>75</v>
      </c>
      <c r="AE35" t="s">
        <v>75</v>
      </c>
      <c r="AF35" t="s">
        <v>75</v>
      </c>
      <c r="AG35" t="s">
        <v>75</v>
      </c>
      <c r="AH35" t="s">
        <v>75</v>
      </c>
      <c r="AI35" t="s">
        <v>75</v>
      </c>
      <c r="AJ35" t="s">
        <v>75</v>
      </c>
      <c r="AK35" t="s">
        <v>75</v>
      </c>
      <c r="AL35" t="s">
        <v>75</v>
      </c>
      <c r="AM35" t="s">
        <v>75</v>
      </c>
      <c r="AN35" t="s">
        <v>75</v>
      </c>
      <c r="AO35" t="s">
        <v>75</v>
      </c>
      <c r="AP35" t="s">
        <v>75</v>
      </c>
      <c r="AQ35" t="s">
        <v>75</v>
      </c>
      <c r="AR35" t="s">
        <v>75</v>
      </c>
      <c r="AS35" t="s">
        <v>75</v>
      </c>
      <c r="AT35" t="s">
        <v>75</v>
      </c>
      <c r="AU35" t="s">
        <v>393</v>
      </c>
      <c r="AV35" t="s">
        <v>240</v>
      </c>
      <c r="AW35" t="s">
        <v>142</v>
      </c>
      <c r="AX35" t="s">
        <v>394</v>
      </c>
      <c r="AY35" t="s">
        <v>395</v>
      </c>
      <c r="AZ35" t="s">
        <v>394</v>
      </c>
      <c r="BA35" t="s">
        <v>1322</v>
      </c>
      <c r="BB35" s="13" t="str">
        <f t="shared" si="2"/>
        <v xml:space="preserve"> Nizamabad</v>
      </c>
      <c r="BC35" t="s">
        <v>395</v>
      </c>
      <c r="BD35" t="s">
        <v>73</v>
      </c>
      <c r="BE35" t="s">
        <v>81</v>
      </c>
      <c r="BF35" t="s">
        <v>82</v>
      </c>
      <c r="BG35" t="s">
        <v>148</v>
      </c>
      <c r="BH35" t="s">
        <v>73</v>
      </c>
      <c r="BI35" t="s">
        <v>73</v>
      </c>
      <c r="BJ35" t="s">
        <v>73</v>
      </c>
      <c r="BK35" t="s">
        <v>396</v>
      </c>
      <c r="BL35" t="s">
        <v>73</v>
      </c>
      <c r="BM35" s="12">
        <v>83</v>
      </c>
    </row>
    <row r="36" spans="1:65">
      <c r="A36" t="s">
        <v>60</v>
      </c>
      <c r="B36" t="s">
        <v>397</v>
      </c>
      <c r="C36" t="s">
        <v>398</v>
      </c>
      <c r="D36" t="s">
        <v>390</v>
      </c>
      <c r="E36" t="s">
        <v>391</v>
      </c>
      <c r="F36" t="s">
        <v>392</v>
      </c>
      <c r="G36" t="str">
        <f t="shared" si="0"/>
        <v>ONEUP</v>
      </c>
      <c r="H36" t="s">
        <v>66</v>
      </c>
      <c r="I36" t="s">
        <v>67</v>
      </c>
      <c r="J36" t="s">
        <v>67</v>
      </c>
      <c r="K36" t="s">
        <v>68</v>
      </c>
      <c r="L36" t="s">
        <v>69</v>
      </c>
      <c r="M36" t="s">
        <v>399</v>
      </c>
      <c r="N36" t="str">
        <f t="shared" si="1"/>
        <v>July</v>
      </c>
      <c r="O36" t="s">
        <v>399</v>
      </c>
      <c r="P36" t="s">
        <v>71</v>
      </c>
      <c r="Q36" t="s">
        <v>72</v>
      </c>
      <c r="R36" t="s">
        <v>73</v>
      </c>
      <c r="S36" t="s">
        <v>142</v>
      </c>
      <c r="T36" t="s">
        <v>75</v>
      </c>
      <c r="U36" t="s">
        <v>75</v>
      </c>
      <c r="V36" t="s">
        <v>75</v>
      </c>
      <c r="W36" t="s">
        <v>142</v>
      </c>
      <c r="X36" t="s">
        <v>75</v>
      </c>
      <c r="Y36" t="s">
        <v>142</v>
      </c>
      <c r="Z36" t="s">
        <v>76</v>
      </c>
      <c r="AA36" t="s">
        <v>142</v>
      </c>
      <c r="AB36" t="s">
        <v>75</v>
      </c>
      <c r="AC36" t="s">
        <v>75</v>
      </c>
      <c r="AD36" t="s">
        <v>75</v>
      </c>
      <c r="AE36" t="s">
        <v>75</v>
      </c>
      <c r="AF36" t="s">
        <v>75</v>
      </c>
      <c r="AG36" t="s">
        <v>75</v>
      </c>
      <c r="AH36" t="s">
        <v>75</v>
      </c>
      <c r="AI36" t="s">
        <v>75</v>
      </c>
      <c r="AJ36" t="s">
        <v>75</v>
      </c>
      <c r="AK36" t="s">
        <v>75</v>
      </c>
      <c r="AL36" t="s">
        <v>75</v>
      </c>
      <c r="AM36" t="s">
        <v>75</v>
      </c>
      <c r="AN36" t="s">
        <v>75</v>
      </c>
      <c r="AO36" t="s">
        <v>75</v>
      </c>
      <c r="AP36" t="s">
        <v>75</v>
      </c>
      <c r="AQ36" t="s">
        <v>75</v>
      </c>
      <c r="AR36" t="s">
        <v>75</v>
      </c>
      <c r="AS36" t="s">
        <v>75</v>
      </c>
      <c r="AT36" t="s">
        <v>75</v>
      </c>
      <c r="AU36" t="s">
        <v>400</v>
      </c>
      <c r="AV36" t="s">
        <v>240</v>
      </c>
      <c r="AW36" t="s">
        <v>142</v>
      </c>
      <c r="AX36" t="s">
        <v>401</v>
      </c>
      <c r="AY36" t="s">
        <v>80</v>
      </c>
      <c r="AZ36" t="s">
        <v>401</v>
      </c>
      <c r="BA36" t="s">
        <v>1323</v>
      </c>
      <c r="BB36" s="13" t="str">
        <f t="shared" si="2"/>
        <v xml:space="preserve"> Bengaluru</v>
      </c>
      <c r="BC36" t="s">
        <v>80</v>
      </c>
      <c r="BD36" t="s">
        <v>73</v>
      </c>
      <c r="BE36" t="s">
        <v>81</v>
      </c>
      <c r="BF36" t="s">
        <v>82</v>
      </c>
      <c r="BG36" t="s">
        <v>148</v>
      </c>
      <c r="BH36" t="s">
        <v>73</v>
      </c>
      <c r="BI36" t="s">
        <v>73</v>
      </c>
      <c r="BJ36" t="s">
        <v>73</v>
      </c>
      <c r="BK36" t="s">
        <v>402</v>
      </c>
      <c r="BL36" t="s">
        <v>73</v>
      </c>
      <c r="BM36" s="12">
        <v>71</v>
      </c>
    </row>
    <row r="37" spans="1:65">
      <c r="A37" t="s">
        <v>60</v>
      </c>
      <c r="B37" t="s">
        <v>403</v>
      </c>
      <c r="C37" t="s">
        <v>404</v>
      </c>
      <c r="D37" t="s">
        <v>390</v>
      </c>
      <c r="E37" t="s">
        <v>391</v>
      </c>
      <c r="F37" t="s">
        <v>392</v>
      </c>
      <c r="G37" t="str">
        <f t="shared" si="0"/>
        <v>ONEUP</v>
      </c>
      <c r="H37" t="s">
        <v>66</v>
      </c>
      <c r="I37" t="s">
        <v>67</v>
      </c>
      <c r="J37" t="s">
        <v>67</v>
      </c>
      <c r="K37" t="s">
        <v>140</v>
      </c>
      <c r="L37" t="s">
        <v>69</v>
      </c>
      <c r="M37" t="s">
        <v>399</v>
      </c>
      <c r="N37" t="str">
        <f t="shared" si="1"/>
        <v>July</v>
      </c>
      <c r="O37" t="s">
        <v>399</v>
      </c>
      <c r="P37" t="s">
        <v>71</v>
      </c>
      <c r="Q37" t="s">
        <v>72</v>
      </c>
      <c r="R37" t="s">
        <v>73</v>
      </c>
      <c r="S37" t="s">
        <v>142</v>
      </c>
      <c r="T37" t="s">
        <v>75</v>
      </c>
      <c r="U37" t="s">
        <v>75</v>
      </c>
      <c r="V37" t="s">
        <v>75</v>
      </c>
      <c r="W37" t="s">
        <v>142</v>
      </c>
      <c r="X37" t="s">
        <v>75</v>
      </c>
      <c r="Y37" t="s">
        <v>142</v>
      </c>
      <c r="Z37" t="s">
        <v>76</v>
      </c>
      <c r="AA37" t="s">
        <v>142</v>
      </c>
      <c r="AB37" t="s">
        <v>75</v>
      </c>
      <c r="AC37" t="s">
        <v>75</v>
      </c>
      <c r="AD37" t="s">
        <v>75</v>
      </c>
      <c r="AE37" t="s">
        <v>75</v>
      </c>
      <c r="AF37" t="s">
        <v>75</v>
      </c>
      <c r="AG37" t="s">
        <v>75</v>
      </c>
      <c r="AH37" t="s">
        <v>75</v>
      </c>
      <c r="AI37" t="s">
        <v>75</v>
      </c>
      <c r="AJ37" t="s">
        <v>75</v>
      </c>
      <c r="AK37" t="s">
        <v>75</v>
      </c>
      <c r="AL37" t="s">
        <v>75</v>
      </c>
      <c r="AM37" t="s">
        <v>75</v>
      </c>
      <c r="AN37" t="s">
        <v>75</v>
      </c>
      <c r="AO37" t="s">
        <v>75</v>
      </c>
      <c r="AP37" t="s">
        <v>75</v>
      </c>
      <c r="AQ37" t="s">
        <v>75</v>
      </c>
      <c r="AR37" t="s">
        <v>75</v>
      </c>
      <c r="AS37" t="s">
        <v>75</v>
      </c>
      <c r="AT37" t="s">
        <v>75</v>
      </c>
      <c r="AU37" t="s">
        <v>405</v>
      </c>
      <c r="AV37" t="s">
        <v>240</v>
      </c>
      <c r="AW37" t="s">
        <v>142</v>
      </c>
      <c r="AX37" t="s">
        <v>406</v>
      </c>
      <c r="AY37" t="s">
        <v>261</v>
      </c>
      <c r="AZ37" t="s">
        <v>406</v>
      </c>
      <c r="BA37" t="s">
        <v>1324</v>
      </c>
      <c r="BB37" s="13" t="str">
        <f t="shared" si="2"/>
        <v xml:space="preserve"> Meerut</v>
      </c>
      <c r="BC37" t="s">
        <v>261</v>
      </c>
      <c r="BD37" t="s">
        <v>73</v>
      </c>
      <c r="BE37" t="s">
        <v>81</v>
      </c>
      <c r="BF37" t="s">
        <v>82</v>
      </c>
      <c r="BG37" t="s">
        <v>148</v>
      </c>
      <c r="BH37" t="s">
        <v>73</v>
      </c>
      <c r="BI37" t="s">
        <v>73</v>
      </c>
      <c r="BJ37" t="s">
        <v>73</v>
      </c>
      <c r="BK37" t="s">
        <v>407</v>
      </c>
      <c r="BL37" t="s">
        <v>73</v>
      </c>
      <c r="BM37" s="12">
        <v>87</v>
      </c>
    </row>
    <row r="38" spans="1:65">
      <c r="A38" t="s">
        <v>60</v>
      </c>
      <c r="B38" t="s">
        <v>408</v>
      </c>
      <c r="C38" t="s">
        <v>409</v>
      </c>
      <c r="D38" t="s">
        <v>390</v>
      </c>
      <c r="E38" t="s">
        <v>391</v>
      </c>
      <c r="F38" t="s">
        <v>392</v>
      </c>
      <c r="G38" t="str">
        <f t="shared" si="0"/>
        <v>ONEUP</v>
      </c>
      <c r="H38" t="s">
        <v>66</v>
      </c>
      <c r="I38" t="s">
        <v>67</v>
      </c>
      <c r="J38" t="s">
        <v>67</v>
      </c>
      <c r="K38" t="s">
        <v>140</v>
      </c>
      <c r="L38" t="s">
        <v>69</v>
      </c>
      <c r="M38" t="s">
        <v>141</v>
      </c>
      <c r="N38" t="str">
        <f t="shared" si="1"/>
        <v>July</v>
      </c>
      <c r="O38" t="s">
        <v>141</v>
      </c>
      <c r="P38" t="s">
        <v>71</v>
      </c>
      <c r="Q38" t="s">
        <v>72</v>
      </c>
      <c r="R38" t="s">
        <v>73</v>
      </c>
      <c r="S38" t="s">
        <v>142</v>
      </c>
      <c r="T38" t="s">
        <v>75</v>
      </c>
      <c r="U38" t="s">
        <v>75</v>
      </c>
      <c r="V38" t="s">
        <v>75</v>
      </c>
      <c r="W38" t="s">
        <v>142</v>
      </c>
      <c r="X38" t="s">
        <v>75</v>
      </c>
      <c r="Y38" t="s">
        <v>142</v>
      </c>
      <c r="Z38" t="s">
        <v>76</v>
      </c>
      <c r="AA38" t="s">
        <v>142</v>
      </c>
      <c r="AB38" t="s">
        <v>75</v>
      </c>
      <c r="AC38" t="s">
        <v>75</v>
      </c>
      <c r="AD38" t="s">
        <v>75</v>
      </c>
      <c r="AE38" t="s">
        <v>75</v>
      </c>
      <c r="AF38" t="s">
        <v>75</v>
      </c>
      <c r="AG38" t="s">
        <v>75</v>
      </c>
      <c r="AH38" t="s">
        <v>75</v>
      </c>
      <c r="AI38" t="s">
        <v>75</v>
      </c>
      <c r="AJ38" t="s">
        <v>75</v>
      </c>
      <c r="AK38" t="s">
        <v>75</v>
      </c>
      <c r="AL38" t="s">
        <v>75</v>
      </c>
      <c r="AM38" t="s">
        <v>75</v>
      </c>
      <c r="AN38" t="s">
        <v>75</v>
      </c>
      <c r="AO38" t="s">
        <v>75</v>
      </c>
      <c r="AP38" t="s">
        <v>75</v>
      </c>
      <c r="AQ38" t="s">
        <v>75</v>
      </c>
      <c r="AR38" t="s">
        <v>75</v>
      </c>
      <c r="AS38" t="s">
        <v>75</v>
      </c>
      <c r="AT38" t="s">
        <v>75</v>
      </c>
      <c r="AU38" t="s">
        <v>410</v>
      </c>
      <c r="AV38" t="s">
        <v>240</v>
      </c>
      <c r="AW38" t="s">
        <v>142</v>
      </c>
      <c r="AX38" t="s">
        <v>411</v>
      </c>
      <c r="AY38" t="s">
        <v>261</v>
      </c>
      <c r="AZ38" t="s">
        <v>411</v>
      </c>
      <c r="BA38" t="s">
        <v>1325</v>
      </c>
      <c r="BB38" s="13" t="str">
        <f t="shared" si="2"/>
        <v xml:space="preserve"> Azamgarh</v>
      </c>
      <c r="BC38" t="s">
        <v>261</v>
      </c>
      <c r="BD38" t="s">
        <v>73</v>
      </c>
      <c r="BE38" t="s">
        <v>81</v>
      </c>
      <c r="BF38" t="s">
        <v>82</v>
      </c>
      <c r="BG38" t="s">
        <v>148</v>
      </c>
      <c r="BH38" t="s">
        <v>73</v>
      </c>
      <c r="BI38" t="s">
        <v>73</v>
      </c>
      <c r="BJ38" t="s">
        <v>73</v>
      </c>
      <c r="BK38" t="s">
        <v>412</v>
      </c>
      <c r="BL38" t="s">
        <v>73</v>
      </c>
      <c r="BM38" s="12">
        <v>82</v>
      </c>
    </row>
    <row r="39" spans="1:65">
      <c r="A39" t="s">
        <v>60</v>
      </c>
      <c r="B39" t="s">
        <v>413</v>
      </c>
      <c r="C39" t="s">
        <v>414</v>
      </c>
      <c r="D39" t="s">
        <v>390</v>
      </c>
      <c r="E39" t="s">
        <v>391</v>
      </c>
      <c r="F39" t="s">
        <v>392</v>
      </c>
      <c r="G39" t="str">
        <f t="shared" si="0"/>
        <v>ONEUP</v>
      </c>
      <c r="H39" t="s">
        <v>66</v>
      </c>
      <c r="I39" t="s">
        <v>67</v>
      </c>
      <c r="J39" t="s">
        <v>67</v>
      </c>
      <c r="K39" t="s">
        <v>68</v>
      </c>
      <c r="L39" t="s">
        <v>69</v>
      </c>
      <c r="M39" t="s">
        <v>141</v>
      </c>
      <c r="N39" t="str">
        <f t="shared" si="1"/>
        <v>July</v>
      </c>
      <c r="O39" t="s">
        <v>141</v>
      </c>
      <c r="P39" t="s">
        <v>71</v>
      </c>
      <c r="Q39" t="s">
        <v>72</v>
      </c>
      <c r="R39" t="s">
        <v>73</v>
      </c>
      <c r="S39" t="s">
        <v>142</v>
      </c>
      <c r="T39" t="s">
        <v>75</v>
      </c>
      <c r="U39" t="s">
        <v>75</v>
      </c>
      <c r="V39" t="s">
        <v>75</v>
      </c>
      <c r="W39" t="s">
        <v>142</v>
      </c>
      <c r="X39" t="s">
        <v>75</v>
      </c>
      <c r="Y39" t="s">
        <v>142</v>
      </c>
      <c r="Z39" t="s">
        <v>76</v>
      </c>
      <c r="AA39" t="s">
        <v>142</v>
      </c>
      <c r="AB39" t="s">
        <v>75</v>
      </c>
      <c r="AC39" t="s">
        <v>75</v>
      </c>
      <c r="AD39" t="s">
        <v>75</v>
      </c>
      <c r="AE39" t="s">
        <v>75</v>
      </c>
      <c r="AF39" t="s">
        <v>75</v>
      </c>
      <c r="AG39" t="s">
        <v>75</v>
      </c>
      <c r="AH39" t="s">
        <v>75</v>
      </c>
      <c r="AI39" t="s">
        <v>75</v>
      </c>
      <c r="AJ39" t="s">
        <v>75</v>
      </c>
      <c r="AK39" t="s">
        <v>75</v>
      </c>
      <c r="AL39" t="s">
        <v>75</v>
      </c>
      <c r="AM39" t="s">
        <v>75</v>
      </c>
      <c r="AN39" t="s">
        <v>75</v>
      </c>
      <c r="AO39" t="s">
        <v>75</v>
      </c>
      <c r="AP39" t="s">
        <v>75</v>
      </c>
      <c r="AQ39" t="s">
        <v>75</v>
      </c>
      <c r="AR39" t="s">
        <v>75</v>
      </c>
      <c r="AS39" t="s">
        <v>75</v>
      </c>
      <c r="AT39" t="s">
        <v>75</v>
      </c>
      <c r="AU39" t="s">
        <v>415</v>
      </c>
      <c r="AV39" t="s">
        <v>240</v>
      </c>
      <c r="AW39" t="s">
        <v>142</v>
      </c>
      <c r="AX39" t="s">
        <v>416</v>
      </c>
      <c r="AY39" t="s">
        <v>126</v>
      </c>
      <c r="AZ39" t="s">
        <v>416</v>
      </c>
      <c r="BA39" t="s">
        <v>1326</v>
      </c>
      <c r="BB39" s="13" t="str">
        <f t="shared" si="2"/>
        <v xml:space="preserve"> Madurai</v>
      </c>
      <c r="BC39" t="s">
        <v>126</v>
      </c>
      <c r="BD39" t="s">
        <v>73</v>
      </c>
      <c r="BE39" t="s">
        <v>81</v>
      </c>
      <c r="BF39" t="s">
        <v>82</v>
      </c>
      <c r="BG39" t="s">
        <v>148</v>
      </c>
      <c r="BH39" t="s">
        <v>73</v>
      </c>
      <c r="BI39" t="s">
        <v>73</v>
      </c>
      <c r="BJ39" t="s">
        <v>73</v>
      </c>
      <c r="BK39" t="s">
        <v>417</v>
      </c>
      <c r="BL39" t="s">
        <v>73</v>
      </c>
      <c r="BM39" s="12">
        <v>89</v>
      </c>
    </row>
    <row r="40" spans="1:65">
      <c r="A40" t="s">
        <v>60</v>
      </c>
      <c r="B40" t="s">
        <v>418</v>
      </c>
      <c r="C40" t="s">
        <v>419</v>
      </c>
      <c r="D40" t="s">
        <v>420</v>
      </c>
      <c r="E40" t="s">
        <v>421</v>
      </c>
      <c r="F40" t="s">
        <v>422</v>
      </c>
      <c r="G40" t="str">
        <f t="shared" si="0"/>
        <v>CANT-RICH-PSYCH-ART</v>
      </c>
      <c r="H40" t="s">
        <v>66</v>
      </c>
      <c r="I40" t="s">
        <v>67</v>
      </c>
      <c r="J40" t="s">
        <v>67</v>
      </c>
      <c r="K40" t="s">
        <v>140</v>
      </c>
      <c r="L40" t="s">
        <v>69</v>
      </c>
      <c r="M40" t="s">
        <v>423</v>
      </c>
      <c r="N40" t="str">
        <f t="shared" si="1"/>
        <v>July</v>
      </c>
      <c r="O40" t="s">
        <v>423</v>
      </c>
      <c r="P40" t="s">
        <v>71</v>
      </c>
      <c r="Q40" t="s">
        <v>72</v>
      </c>
      <c r="R40" t="s">
        <v>73</v>
      </c>
      <c r="S40" t="s">
        <v>424</v>
      </c>
      <c r="T40" t="s">
        <v>75</v>
      </c>
      <c r="U40" t="s">
        <v>75</v>
      </c>
      <c r="V40" t="s">
        <v>75</v>
      </c>
      <c r="W40" t="s">
        <v>424</v>
      </c>
      <c r="X40" t="s">
        <v>75</v>
      </c>
      <c r="Y40" t="s">
        <v>424</v>
      </c>
      <c r="Z40" t="s">
        <v>76</v>
      </c>
      <c r="AA40" t="s">
        <v>424</v>
      </c>
      <c r="AB40" t="s">
        <v>75</v>
      </c>
      <c r="AC40" t="s">
        <v>75</v>
      </c>
      <c r="AD40" t="s">
        <v>75</v>
      </c>
      <c r="AE40" t="s">
        <v>75</v>
      </c>
      <c r="AF40" t="s">
        <v>75</v>
      </c>
      <c r="AG40" t="s">
        <v>75</v>
      </c>
      <c r="AH40" t="s">
        <v>75</v>
      </c>
      <c r="AI40" t="s">
        <v>75</v>
      </c>
      <c r="AJ40" t="s">
        <v>75</v>
      </c>
      <c r="AK40" t="s">
        <v>75</v>
      </c>
      <c r="AL40" t="s">
        <v>75</v>
      </c>
      <c r="AM40" t="s">
        <v>75</v>
      </c>
      <c r="AN40" t="s">
        <v>75</v>
      </c>
      <c r="AO40" t="s">
        <v>75</v>
      </c>
      <c r="AP40" t="s">
        <v>75</v>
      </c>
      <c r="AQ40" t="s">
        <v>75</v>
      </c>
      <c r="AR40" t="s">
        <v>75</v>
      </c>
      <c r="AS40" t="s">
        <v>75</v>
      </c>
      <c r="AT40" t="s">
        <v>75</v>
      </c>
      <c r="AU40" t="s">
        <v>425</v>
      </c>
      <c r="AV40" t="s">
        <v>426</v>
      </c>
      <c r="AW40" t="s">
        <v>424</v>
      </c>
      <c r="AX40" t="s">
        <v>427</v>
      </c>
      <c r="AY40" t="s">
        <v>94</v>
      </c>
      <c r="AZ40" t="s">
        <v>427</v>
      </c>
      <c r="BA40" t="s">
        <v>1327</v>
      </c>
      <c r="BB40" s="13" t="str">
        <f t="shared" si="2"/>
        <v xml:space="preserve"> Bhubaneswar</v>
      </c>
      <c r="BC40" t="s">
        <v>94</v>
      </c>
      <c r="BD40" t="s">
        <v>225</v>
      </c>
      <c r="BE40" t="s">
        <v>81</v>
      </c>
      <c r="BF40" t="s">
        <v>82</v>
      </c>
      <c r="BG40" t="s">
        <v>428</v>
      </c>
      <c r="BH40" t="s">
        <v>73</v>
      </c>
      <c r="BI40" t="s">
        <v>73</v>
      </c>
      <c r="BJ40" t="s">
        <v>73</v>
      </c>
      <c r="BK40" t="s">
        <v>429</v>
      </c>
      <c r="BL40" t="s">
        <v>73</v>
      </c>
      <c r="BM40" s="12">
        <v>73</v>
      </c>
    </row>
    <row r="41" spans="1:65">
      <c r="A41" t="s">
        <v>60</v>
      </c>
      <c r="B41" t="s">
        <v>430</v>
      </c>
      <c r="C41" t="s">
        <v>431</v>
      </c>
      <c r="D41" t="s">
        <v>380</v>
      </c>
      <c r="E41" t="s">
        <v>381</v>
      </c>
      <c r="F41" t="s">
        <v>382</v>
      </c>
      <c r="G41" t="str">
        <f t="shared" si="0"/>
        <v>5AM-01</v>
      </c>
      <c r="H41" t="s">
        <v>66</v>
      </c>
      <c r="I41" t="s">
        <v>67</v>
      </c>
      <c r="J41" t="s">
        <v>67</v>
      </c>
      <c r="K41" t="s">
        <v>140</v>
      </c>
      <c r="L41" t="s">
        <v>69</v>
      </c>
      <c r="M41" t="s">
        <v>351</v>
      </c>
      <c r="N41" t="str">
        <f t="shared" si="1"/>
        <v>July</v>
      </c>
      <c r="O41" t="s">
        <v>351</v>
      </c>
      <c r="P41" t="s">
        <v>71</v>
      </c>
      <c r="Q41" t="s">
        <v>72</v>
      </c>
      <c r="R41" t="s">
        <v>73</v>
      </c>
      <c r="S41" t="s">
        <v>383</v>
      </c>
      <c r="T41" t="s">
        <v>75</v>
      </c>
      <c r="U41" t="s">
        <v>75</v>
      </c>
      <c r="V41" t="s">
        <v>75</v>
      </c>
      <c r="W41" t="s">
        <v>383</v>
      </c>
      <c r="X41" t="s">
        <v>75</v>
      </c>
      <c r="Y41" t="s">
        <v>383</v>
      </c>
      <c r="Z41" t="s">
        <v>76</v>
      </c>
      <c r="AA41" t="s">
        <v>383</v>
      </c>
      <c r="AB41" t="s">
        <v>75</v>
      </c>
      <c r="AC41" t="s">
        <v>75</v>
      </c>
      <c r="AD41" t="s">
        <v>75</v>
      </c>
      <c r="AE41" t="s">
        <v>75</v>
      </c>
      <c r="AF41" t="s">
        <v>75</v>
      </c>
      <c r="AG41" t="s">
        <v>75</v>
      </c>
      <c r="AH41" t="s">
        <v>75</v>
      </c>
      <c r="AI41" t="s">
        <v>75</v>
      </c>
      <c r="AJ41" t="s">
        <v>75</v>
      </c>
      <c r="AK41" t="s">
        <v>75</v>
      </c>
      <c r="AL41" t="s">
        <v>75</v>
      </c>
      <c r="AM41" t="s">
        <v>75</v>
      </c>
      <c r="AN41" t="s">
        <v>75</v>
      </c>
      <c r="AO41" t="s">
        <v>75</v>
      </c>
      <c r="AP41" t="s">
        <v>75</v>
      </c>
      <c r="AQ41" t="s">
        <v>75</v>
      </c>
      <c r="AR41" t="s">
        <v>75</v>
      </c>
      <c r="AS41" t="s">
        <v>75</v>
      </c>
      <c r="AT41" t="s">
        <v>75</v>
      </c>
      <c r="AU41" t="s">
        <v>432</v>
      </c>
      <c r="AV41" t="s">
        <v>353</v>
      </c>
      <c r="AW41" t="s">
        <v>383</v>
      </c>
      <c r="AX41" t="s">
        <v>433</v>
      </c>
      <c r="AY41" t="s">
        <v>224</v>
      </c>
      <c r="AZ41" t="s">
        <v>433</v>
      </c>
      <c r="BA41" t="s">
        <v>1328</v>
      </c>
      <c r="BB41" s="13" t="str">
        <f t="shared" si="2"/>
        <v xml:space="preserve"> Siliguri</v>
      </c>
      <c r="BC41" t="s">
        <v>224</v>
      </c>
      <c r="BD41" t="s">
        <v>169</v>
      </c>
      <c r="BE41" t="s">
        <v>81</v>
      </c>
      <c r="BF41" t="s">
        <v>82</v>
      </c>
      <c r="BG41" t="s">
        <v>386</v>
      </c>
      <c r="BH41" t="s">
        <v>73</v>
      </c>
      <c r="BI41" t="s">
        <v>73</v>
      </c>
      <c r="BJ41" t="s">
        <v>73</v>
      </c>
      <c r="BK41" t="s">
        <v>434</v>
      </c>
      <c r="BL41" t="s">
        <v>73</v>
      </c>
      <c r="BM41" s="12">
        <v>80</v>
      </c>
    </row>
    <row r="42" spans="1:65">
      <c r="A42" t="s">
        <v>60</v>
      </c>
      <c r="B42" t="s">
        <v>435</v>
      </c>
      <c r="C42" t="s">
        <v>436</v>
      </c>
      <c r="D42" t="s">
        <v>437</v>
      </c>
      <c r="E42" t="s">
        <v>438</v>
      </c>
      <c r="F42" t="s">
        <v>439</v>
      </c>
      <c r="G42" t="str">
        <f t="shared" si="0"/>
        <v>RICH-DAD-HINDI03</v>
      </c>
      <c r="H42" t="s">
        <v>66</v>
      </c>
      <c r="I42" t="s">
        <v>67</v>
      </c>
      <c r="J42" t="s">
        <v>67</v>
      </c>
      <c r="K42" t="s">
        <v>140</v>
      </c>
      <c r="L42" t="s">
        <v>69</v>
      </c>
      <c r="M42" t="s">
        <v>440</v>
      </c>
      <c r="N42" t="str">
        <f t="shared" si="1"/>
        <v>July</v>
      </c>
      <c r="O42" t="s">
        <v>440</v>
      </c>
      <c r="P42" t="s">
        <v>71</v>
      </c>
      <c r="Q42" t="s">
        <v>72</v>
      </c>
      <c r="R42" t="s">
        <v>73</v>
      </c>
      <c r="S42" t="s">
        <v>441</v>
      </c>
      <c r="T42" t="s">
        <v>75</v>
      </c>
      <c r="U42" t="s">
        <v>75</v>
      </c>
      <c r="V42" t="s">
        <v>75</v>
      </c>
      <c r="W42" t="s">
        <v>441</v>
      </c>
      <c r="X42" t="s">
        <v>75</v>
      </c>
      <c r="Y42" t="s">
        <v>441</v>
      </c>
      <c r="Z42" t="s">
        <v>76</v>
      </c>
      <c r="AA42" t="s">
        <v>441</v>
      </c>
      <c r="AB42" t="s">
        <v>75</v>
      </c>
      <c r="AC42" t="s">
        <v>75</v>
      </c>
      <c r="AD42" t="s">
        <v>75</v>
      </c>
      <c r="AE42" t="s">
        <v>75</v>
      </c>
      <c r="AF42" t="s">
        <v>75</v>
      </c>
      <c r="AG42" t="s">
        <v>75</v>
      </c>
      <c r="AH42" t="s">
        <v>75</v>
      </c>
      <c r="AI42" t="s">
        <v>75</v>
      </c>
      <c r="AJ42" t="s">
        <v>75</v>
      </c>
      <c r="AK42" t="s">
        <v>75</v>
      </c>
      <c r="AL42" t="s">
        <v>75</v>
      </c>
      <c r="AM42" t="s">
        <v>75</v>
      </c>
      <c r="AN42" t="s">
        <v>75</v>
      </c>
      <c r="AO42" t="s">
        <v>75</v>
      </c>
      <c r="AP42" t="s">
        <v>75</v>
      </c>
      <c r="AQ42" t="s">
        <v>75</v>
      </c>
      <c r="AR42" t="s">
        <v>75</v>
      </c>
      <c r="AS42" t="s">
        <v>75</v>
      </c>
      <c r="AT42" t="s">
        <v>75</v>
      </c>
      <c r="AU42" t="s">
        <v>442</v>
      </c>
      <c r="AV42" t="s">
        <v>235</v>
      </c>
      <c r="AW42" t="s">
        <v>441</v>
      </c>
      <c r="AX42" t="s">
        <v>443</v>
      </c>
      <c r="AY42" t="s">
        <v>261</v>
      </c>
      <c r="AZ42" t="s">
        <v>443</v>
      </c>
      <c r="BA42" t="s">
        <v>1329</v>
      </c>
      <c r="BB42" s="13" t="str">
        <f t="shared" si="2"/>
        <v xml:space="preserve"> Gorakhpur</v>
      </c>
      <c r="BC42" t="s">
        <v>261</v>
      </c>
      <c r="BD42" t="s">
        <v>73</v>
      </c>
      <c r="BE42" t="s">
        <v>81</v>
      </c>
      <c r="BF42" t="s">
        <v>82</v>
      </c>
      <c r="BG42" t="s">
        <v>444</v>
      </c>
      <c r="BH42" t="s">
        <v>73</v>
      </c>
      <c r="BI42" t="s">
        <v>73</v>
      </c>
      <c r="BJ42" t="s">
        <v>73</v>
      </c>
      <c r="BK42" t="s">
        <v>445</v>
      </c>
      <c r="BL42" t="s">
        <v>73</v>
      </c>
      <c r="BM42" s="12">
        <v>77</v>
      </c>
    </row>
    <row r="43" spans="1:65">
      <c r="A43" t="s">
        <v>60</v>
      </c>
      <c r="B43" t="s">
        <v>446</v>
      </c>
      <c r="C43" t="s">
        <v>447</v>
      </c>
      <c r="D43" t="s">
        <v>448</v>
      </c>
      <c r="E43" t="s">
        <v>449</v>
      </c>
      <c r="F43" t="s">
        <v>450</v>
      </c>
      <c r="G43" t="str">
        <f t="shared" si="0"/>
        <v>ENERGIZE-YOUR-MIND</v>
      </c>
      <c r="H43" t="s">
        <v>66</v>
      </c>
      <c r="I43" t="s">
        <v>138</v>
      </c>
      <c r="J43" t="s">
        <v>138</v>
      </c>
      <c r="K43" t="s">
        <v>140</v>
      </c>
      <c r="L43" t="s">
        <v>69</v>
      </c>
      <c r="M43" t="s">
        <v>451</v>
      </c>
      <c r="N43" t="str">
        <f t="shared" si="1"/>
        <v>July</v>
      </c>
      <c r="O43" t="s">
        <v>451</v>
      </c>
      <c r="P43" t="s">
        <v>71</v>
      </c>
      <c r="Q43" t="s">
        <v>72</v>
      </c>
      <c r="R43" t="s">
        <v>73</v>
      </c>
      <c r="S43" t="s">
        <v>452</v>
      </c>
      <c r="T43" t="s">
        <v>453</v>
      </c>
      <c r="U43" t="s">
        <v>75</v>
      </c>
      <c r="V43" t="s">
        <v>453</v>
      </c>
      <c r="W43" t="s">
        <v>454</v>
      </c>
      <c r="X43" t="s">
        <v>75</v>
      </c>
      <c r="Y43" t="s">
        <v>454</v>
      </c>
      <c r="Z43" t="s">
        <v>76</v>
      </c>
      <c r="AA43" t="s">
        <v>455</v>
      </c>
      <c r="AB43" t="s">
        <v>75</v>
      </c>
      <c r="AC43" t="s">
        <v>75</v>
      </c>
      <c r="AD43" t="s">
        <v>75</v>
      </c>
      <c r="AE43" t="s">
        <v>75</v>
      </c>
      <c r="AF43" t="s">
        <v>75</v>
      </c>
      <c r="AG43" t="s">
        <v>75</v>
      </c>
      <c r="AH43" t="s">
        <v>75</v>
      </c>
      <c r="AI43" t="s">
        <v>75</v>
      </c>
      <c r="AJ43" t="s">
        <v>75</v>
      </c>
      <c r="AK43" t="s">
        <v>75</v>
      </c>
      <c r="AL43" t="s">
        <v>75</v>
      </c>
      <c r="AM43" t="s">
        <v>75</v>
      </c>
      <c r="AN43" t="s">
        <v>75</v>
      </c>
      <c r="AO43" t="s">
        <v>75</v>
      </c>
      <c r="AP43" t="s">
        <v>75</v>
      </c>
      <c r="AQ43" t="s">
        <v>75</v>
      </c>
      <c r="AR43" t="s">
        <v>75</v>
      </c>
      <c r="AS43" t="s">
        <v>75</v>
      </c>
      <c r="AT43" t="s">
        <v>75</v>
      </c>
      <c r="AU43" t="s">
        <v>456</v>
      </c>
      <c r="AV43" t="s">
        <v>284</v>
      </c>
      <c r="AW43" t="s">
        <v>455</v>
      </c>
      <c r="AX43" t="s">
        <v>457</v>
      </c>
      <c r="AY43" t="s">
        <v>458</v>
      </c>
      <c r="AZ43" t="s">
        <v>457</v>
      </c>
      <c r="BA43" t="s">
        <v>1330</v>
      </c>
      <c r="BB43" s="13" t="str">
        <f t="shared" si="2"/>
        <v xml:space="preserve"> Shillong</v>
      </c>
      <c r="BC43" t="s">
        <v>458</v>
      </c>
      <c r="BD43" t="s">
        <v>73</v>
      </c>
      <c r="BE43" t="s">
        <v>81</v>
      </c>
      <c r="BF43" t="s">
        <v>82</v>
      </c>
      <c r="BG43" t="s">
        <v>459</v>
      </c>
      <c r="BH43" t="s">
        <v>73</v>
      </c>
      <c r="BI43" t="s">
        <v>73</v>
      </c>
      <c r="BJ43" t="s">
        <v>73</v>
      </c>
      <c r="BK43" t="s">
        <v>460</v>
      </c>
      <c r="BL43" t="s">
        <v>73</v>
      </c>
      <c r="BM43" s="12">
        <v>84</v>
      </c>
    </row>
    <row r="44" spans="1:65">
      <c r="A44" t="s">
        <v>60</v>
      </c>
      <c r="B44" t="s">
        <v>461</v>
      </c>
      <c r="C44" t="s">
        <v>462</v>
      </c>
      <c r="D44" t="s">
        <v>463</v>
      </c>
      <c r="E44" t="s">
        <v>464</v>
      </c>
      <c r="F44" t="s">
        <v>465</v>
      </c>
      <c r="G44" t="str">
        <f t="shared" si="0"/>
        <v>LIFE02</v>
      </c>
      <c r="H44" t="s">
        <v>66</v>
      </c>
      <c r="I44" t="s">
        <v>67</v>
      </c>
      <c r="J44" t="s">
        <v>67</v>
      </c>
      <c r="K44" t="s">
        <v>68</v>
      </c>
      <c r="L44" t="s">
        <v>69</v>
      </c>
      <c r="M44" t="s">
        <v>308</v>
      </c>
      <c r="N44" t="str">
        <f t="shared" si="1"/>
        <v>July</v>
      </c>
      <c r="O44" t="s">
        <v>308</v>
      </c>
      <c r="P44" t="s">
        <v>71</v>
      </c>
      <c r="Q44" t="s">
        <v>72</v>
      </c>
      <c r="R44" t="s">
        <v>73</v>
      </c>
      <c r="S44" t="s">
        <v>383</v>
      </c>
      <c r="T44" t="s">
        <v>75</v>
      </c>
      <c r="U44" t="s">
        <v>75</v>
      </c>
      <c r="V44" t="s">
        <v>75</v>
      </c>
      <c r="W44" t="s">
        <v>383</v>
      </c>
      <c r="X44" t="s">
        <v>75</v>
      </c>
      <c r="Y44" t="s">
        <v>383</v>
      </c>
      <c r="Z44" t="s">
        <v>76</v>
      </c>
      <c r="AA44" t="s">
        <v>383</v>
      </c>
      <c r="AB44" t="s">
        <v>75</v>
      </c>
      <c r="AC44" t="s">
        <v>75</v>
      </c>
      <c r="AD44" t="s">
        <v>75</v>
      </c>
      <c r="AE44" t="s">
        <v>75</v>
      </c>
      <c r="AF44" t="s">
        <v>75</v>
      </c>
      <c r="AG44" t="s">
        <v>75</v>
      </c>
      <c r="AH44" t="s">
        <v>75</v>
      </c>
      <c r="AI44" t="s">
        <v>75</v>
      </c>
      <c r="AJ44" t="s">
        <v>75</v>
      </c>
      <c r="AK44" t="s">
        <v>75</v>
      </c>
      <c r="AL44" t="s">
        <v>75</v>
      </c>
      <c r="AM44" t="s">
        <v>75</v>
      </c>
      <c r="AN44" t="s">
        <v>75</v>
      </c>
      <c r="AO44" t="s">
        <v>75</v>
      </c>
      <c r="AP44" t="s">
        <v>75</v>
      </c>
      <c r="AQ44" t="s">
        <v>75</v>
      </c>
      <c r="AR44" t="s">
        <v>75</v>
      </c>
      <c r="AS44" t="s">
        <v>75</v>
      </c>
      <c r="AT44" t="s">
        <v>75</v>
      </c>
      <c r="AU44" t="s">
        <v>466</v>
      </c>
      <c r="AV44" t="s">
        <v>467</v>
      </c>
      <c r="AW44" t="s">
        <v>383</v>
      </c>
      <c r="AX44" t="s">
        <v>468</v>
      </c>
      <c r="AY44" t="s">
        <v>469</v>
      </c>
      <c r="AZ44" t="s">
        <v>468</v>
      </c>
      <c r="BA44" t="s">
        <v>1331</v>
      </c>
      <c r="BB44" s="13" t="str">
        <f t="shared" si="2"/>
        <v xml:space="preserve"> Bhopal</v>
      </c>
      <c r="BC44" t="s">
        <v>469</v>
      </c>
      <c r="BD44" t="s">
        <v>470</v>
      </c>
      <c r="BE44" t="s">
        <v>81</v>
      </c>
      <c r="BF44" t="s">
        <v>82</v>
      </c>
      <c r="BG44" t="s">
        <v>386</v>
      </c>
      <c r="BH44" t="s">
        <v>73</v>
      </c>
      <c r="BI44" t="s">
        <v>73</v>
      </c>
      <c r="BJ44" t="s">
        <v>73</v>
      </c>
      <c r="BK44" t="s">
        <v>471</v>
      </c>
      <c r="BL44" t="s">
        <v>73</v>
      </c>
      <c r="BM44" s="12">
        <v>86</v>
      </c>
    </row>
    <row r="45" spans="1:65">
      <c r="A45" t="s">
        <v>60</v>
      </c>
      <c r="B45" t="s">
        <v>472</v>
      </c>
      <c r="C45" t="s">
        <v>473</v>
      </c>
      <c r="D45" t="s">
        <v>305</v>
      </c>
      <c r="E45" t="s">
        <v>306</v>
      </c>
      <c r="F45" t="s">
        <v>307</v>
      </c>
      <c r="G45" t="str">
        <f t="shared" si="0"/>
        <v>THANGRORICH</v>
      </c>
      <c r="H45" t="s">
        <v>66</v>
      </c>
      <c r="I45" t="s">
        <v>67</v>
      </c>
      <c r="J45" t="s">
        <v>67</v>
      </c>
      <c r="K45" t="s">
        <v>68</v>
      </c>
      <c r="L45" t="s">
        <v>69</v>
      </c>
      <c r="M45" t="s">
        <v>333</v>
      </c>
      <c r="N45" t="str">
        <f t="shared" si="1"/>
        <v>July</v>
      </c>
      <c r="O45" t="s">
        <v>333</v>
      </c>
      <c r="P45" t="s">
        <v>71</v>
      </c>
      <c r="Q45" t="s">
        <v>72</v>
      </c>
      <c r="R45" t="s">
        <v>73</v>
      </c>
      <c r="S45" t="s">
        <v>309</v>
      </c>
      <c r="T45" t="s">
        <v>75</v>
      </c>
      <c r="U45" t="s">
        <v>75</v>
      </c>
      <c r="V45" t="s">
        <v>75</v>
      </c>
      <c r="W45" t="s">
        <v>309</v>
      </c>
      <c r="X45" t="s">
        <v>75</v>
      </c>
      <c r="Y45" t="s">
        <v>309</v>
      </c>
      <c r="Z45" t="s">
        <v>76</v>
      </c>
      <c r="AA45" t="s">
        <v>309</v>
      </c>
      <c r="AB45" t="s">
        <v>75</v>
      </c>
      <c r="AC45" t="s">
        <v>75</v>
      </c>
      <c r="AD45" t="s">
        <v>75</v>
      </c>
      <c r="AE45" t="s">
        <v>75</v>
      </c>
      <c r="AF45" t="s">
        <v>75</v>
      </c>
      <c r="AG45" t="s">
        <v>75</v>
      </c>
      <c r="AH45" t="s">
        <v>75</v>
      </c>
      <c r="AI45" t="s">
        <v>75</v>
      </c>
      <c r="AJ45" t="s">
        <v>75</v>
      </c>
      <c r="AK45" t="s">
        <v>75</v>
      </c>
      <c r="AL45" t="s">
        <v>75</v>
      </c>
      <c r="AM45" t="s">
        <v>75</v>
      </c>
      <c r="AN45" t="s">
        <v>75</v>
      </c>
      <c r="AO45" t="s">
        <v>75</v>
      </c>
      <c r="AP45" t="s">
        <v>75</v>
      </c>
      <c r="AQ45" t="s">
        <v>75</v>
      </c>
      <c r="AR45" t="s">
        <v>75</v>
      </c>
      <c r="AS45" t="s">
        <v>75</v>
      </c>
      <c r="AT45" t="s">
        <v>75</v>
      </c>
      <c r="AU45" t="s">
        <v>474</v>
      </c>
      <c r="AV45" t="s">
        <v>158</v>
      </c>
      <c r="AW45" t="s">
        <v>309</v>
      </c>
      <c r="AX45" t="s">
        <v>475</v>
      </c>
      <c r="AY45" t="s">
        <v>117</v>
      </c>
      <c r="AZ45" t="s">
        <v>475</v>
      </c>
      <c r="BA45" t="s">
        <v>1332</v>
      </c>
      <c r="BB45" s="13" t="str">
        <f t="shared" si="2"/>
        <v xml:space="preserve"> Mumbai</v>
      </c>
      <c r="BC45" t="s">
        <v>117</v>
      </c>
      <c r="BD45" t="s">
        <v>313</v>
      </c>
      <c r="BE45" t="s">
        <v>81</v>
      </c>
      <c r="BF45" t="s">
        <v>82</v>
      </c>
      <c r="BG45" t="s">
        <v>314</v>
      </c>
      <c r="BH45" t="s">
        <v>73</v>
      </c>
      <c r="BI45" t="s">
        <v>73</v>
      </c>
      <c r="BJ45" t="s">
        <v>73</v>
      </c>
      <c r="BK45" t="s">
        <v>476</v>
      </c>
      <c r="BL45" t="s">
        <v>73</v>
      </c>
      <c r="BM45" s="12">
        <v>74</v>
      </c>
    </row>
    <row r="46" spans="1:65">
      <c r="A46" t="s">
        <v>60</v>
      </c>
      <c r="B46" t="s">
        <v>477</v>
      </c>
      <c r="C46" t="s">
        <v>478</v>
      </c>
      <c r="D46" t="s">
        <v>437</v>
      </c>
      <c r="E46" t="s">
        <v>438</v>
      </c>
      <c r="F46" t="s">
        <v>439</v>
      </c>
      <c r="G46" t="str">
        <f t="shared" si="0"/>
        <v>RICH-DAD-HINDI03</v>
      </c>
      <c r="H46" t="s">
        <v>66</v>
      </c>
      <c r="I46" t="s">
        <v>67</v>
      </c>
      <c r="J46" t="s">
        <v>67</v>
      </c>
      <c r="K46" t="s">
        <v>68</v>
      </c>
      <c r="L46" t="s">
        <v>69</v>
      </c>
      <c r="M46" t="s">
        <v>266</v>
      </c>
      <c r="N46" t="str">
        <f t="shared" si="1"/>
        <v>July</v>
      </c>
      <c r="O46" t="s">
        <v>266</v>
      </c>
      <c r="P46" t="s">
        <v>71</v>
      </c>
      <c r="Q46" t="s">
        <v>72</v>
      </c>
      <c r="R46" t="s">
        <v>73</v>
      </c>
      <c r="S46" t="s">
        <v>91</v>
      </c>
      <c r="T46" t="s">
        <v>75</v>
      </c>
      <c r="U46" t="s">
        <v>75</v>
      </c>
      <c r="V46" t="s">
        <v>75</v>
      </c>
      <c r="W46" t="s">
        <v>91</v>
      </c>
      <c r="X46" t="s">
        <v>75</v>
      </c>
      <c r="Y46" t="s">
        <v>91</v>
      </c>
      <c r="Z46" t="s">
        <v>76</v>
      </c>
      <c r="AA46" t="s">
        <v>91</v>
      </c>
      <c r="AB46" t="s">
        <v>75</v>
      </c>
      <c r="AC46" t="s">
        <v>75</v>
      </c>
      <c r="AD46" t="s">
        <v>75</v>
      </c>
      <c r="AE46" t="s">
        <v>75</v>
      </c>
      <c r="AF46" t="s">
        <v>75</v>
      </c>
      <c r="AG46" t="s">
        <v>75</v>
      </c>
      <c r="AH46" t="s">
        <v>75</v>
      </c>
      <c r="AI46" t="s">
        <v>75</v>
      </c>
      <c r="AJ46" t="s">
        <v>75</v>
      </c>
      <c r="AK46" t="s">
        <v>75</v>
      </c>
      <c r="AL46" t="s">
        <v>75</v>
      </c>
      <c r="AM46" t="s">
        <v>75</v>
      </c>
      <c r="AN46" t="s">
        <v>75</v>
      </c>
      <c r="AO46" t="s">
        <v>75</v>
      </c>
      <c r="AP46" t="s">
        <v>75</v>
      </c>
      <c r="AQ46" t="s">
        <v>75</v>
      </c>
      <c r="AR46" t="s">
        <v>75</v>
      </c>
      <c r="AS46" t="s">
        <v>75</v>
      </c>
      <c r="AT46" t="s">
        <v>75</v>
      </c>
      <c r="AU46" t="s">
        <v>479</v>
      </c>
      <c r="AV46" t="s">
        <v>480</v>
      </c>
      <c r="AW46" t="s">
        <v>91</v>
      </c>
      <c r="AX46" t="s">
        <v>481</v>
      </c>
      <c r="AY46" t="s">
        <v>117</v>
      </c>
      <c r="AZ46" t="s">
        <v>481</v>
      </c>
      <c r="BA46" t="s">
        <v>1333</v>
      </c>
      <c r="BB46" s="13" t="str">
        <f t="shared" si="2"/>
        <v xml:space="preserve"> Pune</v>
      </c>
      <c r="BC46" t="s">
        <v>117</v>
      </c>
      <c r="BD46" t="s">
        <v>73</v>
      </c>
      <c r="BE46" t="s">
        <v>81</v>
      </c>
      <c r="BF46" t="s">
        <v>82</v>
      </c>
      <c r="BG46" t="s">
        <v>95</v>
      </c>
      <c r="BH46" t="s">
        <v>73</v>
      </c>
      <c r="BI46" t="s">
        <v>73</v>
      </c>
      <c r="BJ46" t="s">
        <v>73</v>
      </c>
      <c r="BK46" t="s">
        <v>482</v>
      </c>
      <c r="BL46" t="s">
        <v>73</v>
      </c>
      <c r="BM46" s="12">
        <v>78</v>
      </c>
    </row>
    <row r="47" spans="1:65">
      <c r="A47" t="s">
        <v>60</v>
      </c>
      <c r="B47" t="s">
        <v>483</v>
      </c>
      <c r="C47" t="s">
        <v>484</v>
      </c>
      <c r="D47" t="s">
        <v>380</v>
      </c>
      <c r="E47" t="s">
        <v>381</v>
      </c>
      <c r="F47" t="s">
        <v>382</v>
      </c>
      <c r="G47" t="str">
        <f t="shared" si="0"/>
        <v>5AM-01</v>
      </c>
      <c r="H47" t="s">
        <v>66</v>
      </c>
      <c r="I47" t="s">
        <v>67</v>
      </c>
      <c r="J47" t="s">
        <v>67</v>
      </c>
      <c r="K47" t="s">
        <v>68</v>
      </c>
      <c r="L47" t="s">
        <v>69</v>
      </c>
      <c r="M47" t="s">
        <v>485</v>
      </c>
      <c r="N47" t="str">
        <f t="shared" si="1"/>
        <v>July</v>
      </c>
      <c r="O47" t="s">
        <v>485</v>
      </c>
      <c r="P47" t="s">
        <v>71</v>
      </c>
      <c r="Q47" t="s">
        <v>72</v>
      </c>
      <c r="R47" t="s">
        <v>73</v>
      </c>
      <c r="S47" t="s">
        <v>383</v>
      </c>
      <c r="T47" t="s">
        <v>75</v>
      </c>
      <c r="U47" t="s">
        <v>75</v>
      </c>
      <c r="V47" t="s">
        <v>75</v>
      </c>
      <c r="W47" t="s">
        <v>383</v>
      </c>
      <c r="X47" t="s">
        <v>75</v>
      </c>
      <c r="Y47" t="s">
        <v>383</v>
      </c>
      <c r="Z47" t="s">
        <v>76</v>
      </c>
      <c r="AA47" t="s">
        <v>383</v>
      </c>
      <c r="AB47" t="s">
        <v>75</v>
      </c>
      <c r="AC47" t="s">
        <v>75</v>
      </c>
      <c r="AD47" t="s">
        <v>75</v>
      </c>
      <c r="AE47" t="s">
        <v>75</v>
      </c>
      <c r="AF47" t="s">
        <v>75</v>
      </c>
      <c r="AG47" t="s">
        <v>75</v>
      </c>
      <c r="AH47" t="s">
        <v>75</v>
      </c>
      <c r="AI47" t="s">
        <v>75</v>
      </c>
      <c r="AJ47" t="s">
        <v>75</v>
      </c>
      <c r="AK47" t="s">
        <v>75</v>
      </c>
      <c r="AL47" t="s">
        <v>75</v>
      </c>
      <c r="AM47" t="s">
        <v>75</v>
      </c>
      <c r="AN47" t="s">
        <v>75</v>
      </c>
      <c r="AO47" t="s">
        <v>75</v>
      </c>
      <c r="AP47" t="s">
        <v>75</v>
      </c>
      <c r="AQ47" t="s">
        <v>75</v>
      </c>
      <c r="AR47" t="s">
        <v>75</v>
      </c>
      <c r="AS47" t="s">
        <v>75</v>
      </c>
      <c r="AT47" t="s">
        <v>75</v>
      </c>
      <c r="AU47" t="s">
        <v>486</v>
      </c>
      <c r="AV47" t="s">
        <v>480</v>
      </c>
      <c r="AW47" t="s">
        <v>383</v>
      </c>
      <c r="AX47" t="s">
        <v>487</v>
      </c>
      <c r="AY47" t="s">
        <v>395</v>
      </c>
      <c r="AZ47" t="s">
        <v>487</v>
      </c>
      <c r="BA47" t="s">
        <v>1334</v>
      </c>
      <c r="BB47" s="13" t="str">
        <f t="shared" si="2"/>
        <v xml:space="preserve"> Hyderabad</v>
      </c>
      <c r="BC47" t="s">
        <v>395</v>
      </c>
      <c r="BD47" t="s">
        <v>169</v>
      </c>
      <c r="BE47" t="s">
        <v>81</v>
      </c>
      <c r="BF47" t="s">
        <v>82</v>
      </c>
      <c r="BG47" t="s">
        <v>386</v>
      </c>
      <c r="BH47" t="s">
        <v>73</v>
      </c>
      <c r="BI47" t="s">
        <v>73</v>
      </c>
      <c r="BJ47" t="s">
        <v>73</v>
      </c>
      <c r="BK47" t="s">
        <v>488</v>
      </c>
      <c r="BL47" t="s">
        <v>73</v>
      </c>
      <c r="BM47" s="12">
        <v>85</v>
      </c>
    </row>
    <row r="48" spans="1:65">
      <c r="A48" t="s">
        <v>60</v>
      </c>
      <c r="B48" t="s">
        <v>489</v>
      </c>
      <c r="C48" t="s">
        <v>490</v>
      </c>
      <c r="D48" t="s">
        <v>491</v>
      </c>
      <c r="E48" t="s">
        <v>492</v>
      </c>
      <c r="F48" t="s">
        <v>493</v>
      </c>
      <c r="G48" t="str">
        <f t="shared" si="0"/>
        <v>WHO-MINDSET</v>
      </c>
      <c r="H48" t="s">
        <v>66</v>
      </c>
      <c r="I48" t="s">
        <v>138</v>
      </c>
      <c r="J48" t="s">
        <v>138</v>
      </c>
      <c r="K48" t="s">
        <v>140</v>
      </c>
      <c r="L48" t="s">
        <v>69</v>
      </c>
      <c r="M48" t="s">
        <v>494</v>
      </c>
      <c r="N48" t="str">
        <f t="shared" si="1"/>
        <v>July</v>
      </c>
      <c r="O48" t="s">
        <v>494</v>
      </c>
      <c r="P48" t="s">
        <v>71</v>
      </c>
      <c r="Q48" t="s">
        <v>72</v>
      </c>
      <c r="R48" t="s">
        <v>73</v>
      </c>
      <c r="S48" t="s">
        <v>495</v>
      </c>
      <c r="T48" t="s">
        <v>496</v>
      </c>
      <c r="U48" t="s">
        <v>75</v>
      </c>
      <c r="V48" t="s">
        <v>496</v>
      </c>
      <c r="W48" t="s">
        <v>497</v>
      </c>
      <c r="X48" t="s">
        <v>75</v>
      </c>
      <c r="Y48" t="s">
        <v>497</v>
      </c>
      <c r="Z48" t="s">
        <v>76</v>
      </c>
      <c r="AA48" t="s">
        <v>498</v>
      </c>
      <c r="AB48" t="s">
        <v>75</v>
      </c>
      <c r="AC48" t="s">
        <v>75</v>
      </c>
      <c r="AD48" t="s">
        <v>75</v>
      </c>
      <c r="AE48" t="s">
        <v>75</v>
      </c>
      <c r="AF48" t="s">
        <v>75</v>
      </c>
      <c r="AG48" t="s">
        <v>75</v>
      </c>
      <c r="AH48" t="s">
        <v>75</v>
      </c>
      <c r="AI48" t="s">
        <v>75</v>
      </c>
      <c r="AJ48" t="s">
        <v>75</v>
      </c>
      <c r="AK48" t="s">
        <v>75</v>
      </c>
      <c r="AL48" t="s">
        <v>75</v>
      </c>
      <c r="AM48" t="s">
        <v>75</v>
      </c>
      <c r="AN48" t="s">
        <v>75</v>
      </c>
      <c r="AO48" t="s">
        <v>75</v>
      </c>
      <c r="AP48" t="s">
        <v>75</v>
      </c>
      <c r="AQ48" t="s">
        <v>75</v>
      </c>
      <c r="AR48" t="s">
        <v>75</v>
      </c>
      <c r="AS48" t="s">
        <v>75</v>
      </c>
      <c r="AT48" t="s">
        <v>75</v>
      </c>
      <c r="AU48" t="s">
        <v>499</v>
      </c>
      <c r="AV48" t="s">
        <v>500</v>
      </c>
      <c r="AW48" t="s">
        <v>498</v>
      </c>
      <c r="AX48" t="s">
        <v>501</v>
      </c>
      <c r="AY48" t="s">
        <v>502</v>
      </c>
      <c r="AZ48" t="s">
        <v>501</v>
      </c>
      <c r="BA48" t="s">
        <v>1335</v>
      </c>
      <c r="BB48" s="13" t="str">
        <f t="shared" si="2"/>
        <v xml:space="preserve"> Jalandhar</v>
      </c>
      <c r="BC48" t="s">
        <v>502</v>
      </c>
      <c r="BD48" t="s">
        <v>503</v>
      </c>
      <c r="BE48" t="s">
        <v>81</v>
      </c>
      <c r="BF48" t="s">
        <v>82</v>
      </c>
      <c r="BG48" t="s">
        <v>504</v>
      </c>
      <c r="BH48" t="s">
        <v>73</v>
      </c>
      <c r="BI48" t="s">
        <v>73</v>
      </c>
      <c r="BJ48" t="s">
        <v>73</v>
      </c>
      <c r="BK48" t="s">
        <v>505</v>
      </c>
      <c r="BL48" t="s">
        <v>73</v>
      </c>
      <c r="BM48" s="12">
        <v>72</v>
      </c>
    </row>
    <row r="49" spans="1:65">
      <c r="A49" t="s">
        <v>60</v>
      </c>
      <c r="B49" t="s">
        <v>506</v>
      </c>
      <c r="C49" t="s">
        <v>507</v>
      </c>
      <c r="D49" t="s">
        <v>508</v>
      </c>
      <c r="E49" t="s">
        <v>509</v>
      </c>
      <c r="F49" t="s">
        <v>510</v>
      </c>
      <c r="G49" t="str">
        <f t="shared" si="0"/>
        <v>WHO-WILL-CRY03</v>
      </c>
      <c r="H49" t="s">
        <v>66</v>
      </c>
      <c r="I49" t="s">
        <v>67</v>
      </c>
      <c r="J49" t="s">
        <v>67</v>
      </c>
      <c r="K49" t="s">
        <v>140</v>
      </c>
      <c r="L49" t="s">
        <v>69</v>
      </c>
      <c r="M49" t="s">
        <v>440</v>
      </c>
      <c r="N49" t="str">
        <f t="shared" si="1"/>
        <v>July</v>
      </c>
      <c r="O49" t="s">
        <v>440</v>
      </c>
      <c r="P49" t="s">
        <v>71</v>
      </c>
      <c r="Q49" t="s">
        <v>72</v>
      </c>
      <c r="R49" t="s">
        <v>73</v>
      </c>
      <c r="S49" t="s">
        <v>91</v>
      </c>
      <c r="T49" t="s">
        <v>75</v>
      </c>
      <c r="U49" t="s">
        <v>75</v>
      </c>
      <c r="V49" t="s">
        <v>75</v>
      </c>
      <c r="W49" t="s">
        <v>91</v>
      </c>
      <c r="X49" t="s">
        <v>75</v>
      </c>
      <c r="Y49" t="s">
        <v>91</v>
      </c>
      <c r="Z49" t="s">
        <v>76</v>
      </c>
      <c r="AA49" t="s">
        <v>91</v>
      </c>
      <c r="AB49" t="s">
        <v>75</v>
      </c>
      <c r="AC49" t="s">
        <v>75</v>
      </c>
      <c r="AD49" t="s">
        <v>75</v>
      </c>
      <c r="AE49" t="s">
        <v>75</v>
      </c>
      <c r="AF49" t="s">
        <v>75</v>
      </c>
      <c r="AG49" t="s">
        <v>75</v>
      </c>
      <c r="AH49" t="s">
        <v>75</v>
      </c>
      <c r="AI49" t="s">
        <v>75</v>
      </c>
      <c r="AJ49" t="s">
        <v>75</v>
      </c>
      <c r="AK49" t="s">
        <v>75</v>
      </c>
      <c r="AL49" t="s">
        <v>75</v>
      </c>
      <c r="AM49" t="s">
        <v>75</v>
      </c>
      <c r="AN49" t="s">
        <v>75</v>
      </c>
      <c r="AO49" t="s">
        <v>75</v>
      </c>
      <c r="AP49" t="s">
        <v>75</v>
      </c>
      <c r="AQ49" t="s">
        <v>75</v>
      </c>
      <c r="AR49" t="s">
        <v>75</v>
      </c>
      <c r="AS49" t="s">
        <v>75</v>
      </c>
      <c r="AT49" t="s">
        <v>75</v>
      </c>
      <c r="AU49" t="s">
        <v>511</v>
      </c>
      <c r="AV49" t="s">
        <v>235</v>
      </c>
      <c r="AW49" t="s">
        <v>91</v>
      </c>
      <c r="AX49" t="s">
        <v>512</v>
      </c>
      <c r="AY49" t="s">
        <v>124</v>
      </c>
      <c r="AZ49" t="s">
        <v>512</v>
      </c>
      <c r="BA49" t="s">
        <v>1336</v>
      </c>
      <c r="BB49" s="13" t="str">
        <f t="shared" si="2"/>
        <v xml:space="preserve"> Rajkot</v>
      </c>
      <c r="BC49" t="s">
        <v>124</v>
      </c>
      <c r="BD49" t="s">
        <v>513</v>
      </c>
      <c r="BE49" t="s">
        <v>81</v>
      </c>
      <c r="BF49" t="s">
        <v>82</v>
      </c>
      <c r="BG49" t="s">
        <v>95</v>
      </c>
      <c r="BH49" t="s">
        <v>73</v>
      </c>
      <c r="BI49" t="s">
        <v>73</v>
      </c>
      <c r="BJ49" t="s">
        <v>73</v>
      </c>
      <c r="BK49" t="s">
        <v>514</v>
      </c>
      <c r="BL49" t="s">
        <v>73</v>
      </c>
      <c r="BM49" s="12">
        <v>90</v>
      </c>
    </row>
    <row r="50" spans="1:65">
      <c r="A50" t="s">
        <v>60</v>
      </c>
      <c r="B50" t="s">
        <v>515</v>
      </c>
      <c r="C50" t="s">
        <v>516</v>
      </c>
      <c r="D50" t="s">
        <v>517</v>
      </c>
      <c r="E50" t="s">
        <v>518</v>
      </c>
      <c r="F50" t="s">
        <v>519</v>
      </c>
      <c r="G50" t="str">
        <f t="shared" si="0"/>
        <v>CANT</v>
      </c>
      <c r="H50" t="s">
        <v>66</v>
      </c>
      <c r="I50" t="s">
        <v>67</v>
      </c>
      <c r="J50" t="s">
        <v>67</v>
      </c>
      <c r="K50" t="s">
        <v>68</v>
      </c>
      <c r="L50" t="s">
        <v>69</v>
      </c>
      <c r="M50" t="s">
        <v>266</v>
      </c>
      <c r="N50" t="str">
        <f t="shared" si="1"/>
        <v>July</v>
      </c>
      <c r="O50" t="s">
        <v>266</v>
      </c>
      <c r="P50" t="s">
        <v>71</v>
      </c>
      <c r="Q50" t="s">
        <v>72</v>
      </c>
      <c r="R50" t="s">
        <v>73</v>
      </c>
      <c r="S50" t="s">
        <v>74</v>
      </c>
      <c r="T50" t="s">
        <v>75</v>
      </c>
      <c r="U50" t="s">
        <v>75</v>
      </c>
      <c r="V50" t="s">
        <v>75</v>
      </c>
      <c r="W50" t="s">
        <v>74</v>
      </c>
      <c r="X50" t="s">
        <v>75</v>
      </c>
      <c r="Y50" t="s">
        <v>74</v>
      </c>
      <c r="Z50" t="s">
        <v>76</v>
      </c>
      <c r="AA50" t="s">
        <v>74</v>
      </c>
      <c r="AB50" t="s">
        <v>75</v>
      </c>
      <c r="AC50" t="s">
        <v>75</v>
      </c>
      <c r="AD50" t="s">
        <v>75</v>
      </c>
      <c r="AE50" t="s">
        <v>75</v>
      </c>
      <c r="AF50" t="s">
        <v>75</v>
      </c>
      <c r="AG50" t="s">
        <v>75</v>
      </c>
      <c r="AH50" t="s">
        <v>75</v>
      </c>
      <c r="AI50" t="s">
        <v>75</v>
      </c>
      <c r="AJ50" t="s">
        <v>75</v>
      </c>
      <c r="AK50" t="s">
        <v>75</v>
      </c>
      <c r="AL50" t="s">
        <v>75</v>
      </c>
      <c r="AM50" t="s">
        <v>75</v>
      </c>
      <c r="AN50" t="s">
        <v>75</v>
      </c>
      <c r="AO50" t="s">
        <v>75</v>
      </c>
      <c r="AP50" t="s">
        <v>75</v>
      </c>
      <c r="AQ50" t="s">
        <v>75</v>
      </c>
      <c r="AR50" t="s">
        <v>75</v>
      </c>
      <c r="AS50" t="s">
        <v>75</v>
      </c>
      <c r="AT50" t="s">
        <v>75</v>
      </c>
      <c r="AU50" t="s">
        <v>520</v>
      </c>
      <c r="AV50" t="s">
        <v>480</v>
      </c>
      <c r="AW50" t="s">
        <v>74</v>
      </c>
      <c r="AX50" t="s">
        <v>521</v>
      </c>
      <c r="AY50" t="s">
        <v>395</v>
      </c>
      <c r="AZ50" t="s">
        <v>521</v>
      </c>
      <c r="BA50" t="s">
        <v>1337</v>
      </c>
      <c r="BB50" s="13" t="str">
        <f t="shared" si="2"/>
        <v xml:space="preserve"> Khammam</v>
      </c>
      <c r="BC50" t="s">
        <v>395</v>
      </c>
      <c r="BD50" t="s">
        <v>73</v>
      </c>
      <c r="BE50" t="s">
        <v>81</v>
      </c>
      <c r="BF50" t="s">
        <v>82</v>
      </c>
      <c r="BG50" t="s">
        <v>83</v>
      </c>
      <c r="BH50" t="s">
        <v>73</v>
      </c>
      <c r="BI50" t="s">
        <v>73</v>
      </c>
      <c r="BJ50" t="s">
        <v>73</v>
      </c>
      <c r="BK50" t="s">
        <v>522</v>
      </c>
      <c r="BL50" t="s">
        <v>73</v>
      </c>
      <c r="BM50" s="12">
        <v>76</v>
      </c>
    </row>
    <row r="51" spans="1:65">
      <c r="A51" t="s">
        <v>60</v>
      </c>
      <c r="B51" t="s">
        <v>523</v>
      </c>
      <c r="C51" t="s">
        <v>524</v>
      </c>
      <c r="D51" t="s">
        <v>525</v>
      </c>
      <c r="E51" t="s">
        <v>526</v>
      </c>
      <c r="F51" t="s">
        <v>527</v>
      </c>
      <c r="G51" t="str">
        <f t="shared" si="0"/>
        <v>WHO-WILL-CRY01</v>
      </c>
      <c r="H51" t="s">
        <v>66</v>
      </c>
      <c r="I51" t="s">
        <v>138</v>
      </c>
      <c r="J51" t="s">
        <v>138</v>
      </c>
      <c r="K51" t="s">
        <v>140</v>
      </c>
      <c r="L51" t="s">
        <v>69</v>
      </c>
      <c r="M51" t="s">
        <v>528</v>
      </c>
      <c r="N51" t="str">
        <f t="shared" si="1"/>
        <v>July</v>
      </c>
      <c r="O51" t="s">
        <v>528</v>
      </c>
      <c r="P51" t="s">
        <v>71</v>
      </c>
      <c r="Q51" t="s">
        <v>72</v>
      </c>
      <c r="R51" t="s">
        <v>73</v>
      </c>
      <c r="S51" t="s">
        <v>281</v>
      </c>
      <c r="T51" t="s">
        <v>231</v>
      </c>
      <c r="U51" t="s">
        <v>75</v>
      </c>
      <c r="V51" t="s">
        <v>231</v>
      </c>
      <c r="W51" t="s">
        <v>282</v>
      </c>
      <c r="X51" t="s">
        <v>75</v>
      </c>
      <c r="Y51" t="s">
        <v>282</v>
      </c>
      <c r="Z51" t="s">
        <v>76</v>
      </c>
      <c r="AA51" t="s">
        <v>529</v>
      </c>
      <c r="AB51" t="s">
        <v>75</v>
      </c>
      <c r="AC51" t="s">
        <v>75</v>
      </c>
      <c r="AD51" t="s">
        <v>75</v>
      </c>
      <c r="AE51" t="s">
        <v>75</v>
      </c>
      <c r="AF51" t="s">
        <v>75</v>
      </c>
      <c r="AG51" t="s">
        <v>75</v>
      </c>
      <c r="AH51" t="s">
        <v>75</v>
      </c>
      <c r="AI51" t="s">
        <v>75</v>
      </c>
      <c r="AJ51" t="s">
        <v>75</v>
      </c>
      <c r="AK51" t="s">
        <v>75</v>
      </c>
      <c r="AL51" t="s">
        <v>75</v>
      </c>
      <c r="AM51" t="s">
        <v>75</v>
      </c>
      <c r="AN51" t="s">
        <v>75</v>
      </c>
      <c r="AO51" t="s">
        <v>75</v>
      </c>
      <c r="AP51" t="s">
        <v>75</v>
      </c>
      <c r="AQ51" t="s">
        <v>75</v>
      </c>
      <c r="AR51" t="s">
        <v>75</v>
      </c>
      <c r="AS51" t="s">
        <v>75</v>
      </c>
      <c r="AT51" t="s">
        <v>75</v>
      </c>
      <c r="AU51" t="s">
        <v>530</v>
      </c>
      <c r="AV51" t="s">
        <v>235</v>
      </c>
      <c r="AW51" t="s">
        <v>529</v>
      </c>
      <c r="AX51" t="s">
        <v>531</v>
      </c>
      <c r="AY51" t="s">
        <v>532</v>
      </c>
      <c r="AZ51" t="s">
        <v>531</v>
      </c>
      <c r="BA51" t="s">
        <v>1338</v>
      </c>
      <c r="BB51" s="13" t="str">
        <f t="shared" si="2"/>
        <v xml:space="preserve"> Tura</v>
      </c>
      <c r="BC51" t="s">
        <v>532</v>
      </c>
      <c r="BD51" t="s">
        <v>533</v>
      </c>
      <c r="BE51" t="s">
        <v>81</v>
      </c>
      <c r="BF51" t="s">
        <v>82</v>
      </c>
      <c r="BG51" t="s">
        <v>286</v>
      </c>
      <c r="BH51" t="s">
        <v>73</v>
      </c>
      <c r="BI51" t="s">
        <v>73</v>
      </c>
      <c r="BJ51" t="s">
        <v>73</v>
      </c>
      <c r="BK51" t="s">
        <v>534</v>
      </c>
      <c r="BL51" t="s">
        <v>73</v>
      </c>
      <c r="BM51" s="12">
        <v>81</v>
      </c>
    </row>
    <row r="52" spans="1:65">
      <c r="A52" t="s">
        <v>60</v>
      </c>
      <c r="B52" t="s">
        <v>535</v>
      </c>
      <c r="C52" t="s">
        <v>536</v>
      </c>
      <c r="D52" t="s">
        <v>448</v>
      </c>
      <c r="E52" t="s">
        <v>449</v>
      </c>
      <c r="F52" t="s">
        <v>450</v>
      </c>
      <c r="G52" t="str">
        <f t="shared" si="0"/>
        <v>ENERGIZE-YOUR-MIND</v>
      </c>
      <c r="H52" t="s">
        <v>66</v>
      </c>
      <c r="I52" t="s">
        <v>67</v>
      </c>
      <c r="J52" t="s">
        <v>67</v>
      </c>
      <c r="K52" t="s">
        <v>68</v>
      </c>
      <c r="L52" t="s">
        <v>69</v>
      </c>
      <c r="M52" t="s">
        <v>485</v>
      </c>
      <c r="N52" t="str">
        <f t="shared" si="1"/>
        <v>July</v>
      </c>
      <c r="O52" t="s">
        <v>485</v>
      </c>
      <c r="P52" t="s">
        <v>71</v>
      </c>
      <c r="Q52" t="s">
        <v>72</v>
      </c>
      <c r="R52" t="s">
        <v>73</v>
      </c>
      <c r="S52" t="s">
        <v>452</v>
      </c>
      <c r="T52" t="s">
        <v>75</v>
      </c>
      <c r="U52" t="s">
        <v>75</v>
      </c>
      <c r="V52" t="s">
        <v>75</v>
      </c>
      <c r="W52" t="s">
        <v>452</v>
      </c>
      <c r="X52" t="s">
        <v>75</v>
      </c>
      <c r="Y52" t="s">
        <v>452</v>
      </c>
      <c r="Z52" t="s">
        <v>76</v>
      </c>
      <c r="AA52" t="s">
        <v>452</v>
      </c>
      <c r="AB52" t="s">
        <v>75</v>
      </c>
      <c r="AC52" t="s">
        <v>75</v>
      </c>
      <c r="AD52" t="s">
        <v>75</v>
      </c>
      <c r="AE52" t="s">
        <v>75</v>
      </c>
      <c r="AF52" t="s">
        <v>75</v>
      </c>
      <c r="AG52" t="s">
        <v>75</v>
      </c>
      <c r="AH52" t="s">
        <v>75</v>
      </c>
      <c r="AI52" t="s">
        <v>75</v>
      </c>
      <c r="AJ52" t="s">
        <v>75</v>
      </c>
      <c r="AK52" t="s">
        <v>75</v>
      </c>
      <c r="AL52" t="s">
        <v>75</v>
      </c>
      <c r="AM52" t="s">
        <v>75</v>
      </c>
      <c r="AN52" t="s">
        <v>75</v>
      </c>
      <c r="AO52" t="s">
        <v>75</v>
      </c>
      <c r="AP52" t="s">
        <v>75</v>
      </c>
      <c r="AQ52" t="s">
        <v>75</v>
      </c>
      <c r="AR52" t="s">
        <v>75</v>
      </c>
      <c r="AS52" t="s">
        <v>75</v>
      </c>
      <c r="AT52" t="s">
        <v>75</v>
      </c>
      <c r="AU52" t="s">
        <v>537</v>
      </c>
      <c r="AV52" t="s">
        <v>480</v>
      </c>
      <c r="AW52" t="s">
        <v>452</v>
      </c>
      <c r="AX52" t="s">
        <v>538</v>
      </c>
      <c r="AY52" t="s">
        <v>539</v>
      </c>
      <c r="AZ52" t="s">
        <v>538</v>
      </c>
      <c r="BA52" t="s">
        <v>1339</v>
      </c>
      <c r="BB52" s="13" t="str">
        <f t="shared" si="2"/>
        <v xml:space="preserve"> Udaipur</v>
      </c>
      <c r="BC52" t="s">
        <v>539</v>
      </c>
      <c r="BD52" t="s">
        <v>73</v>
      </c>
      <c r="BE52" t="s">
        <v>81</v>
      </c>
      <c r="BF52" t="s">
        <v>82</v>
      </c>
      <c r="BG52" t="s">
        <v>540</v>
      </c>
      <c r="BH52" t="s">
        <v>73</v>
      </c>
      <c r="BI52" t="s">
        <v>73</v>
      </c>
      <c r="BJ52" t="s">
        <v>73</v>
      </c>
      <c r="BK52" t="s">
        <v>541</v>
      </c>
      <c r="BL52" t="s">
        <v>73</v>
      </c>
      <c r="BM52" s="12">
        <v>79</v>
      </c>
    </row>
    <row r="53" spans="1:65">
      <c r="A53" t="s">
        <v>60</v>
      </c>
      <c r="B53" t="s">
        <v>542</v>
      </c>
      <c r="C53" t="s">
        <v>543</v>
      </c>
      <c r="D53" t="s">
        <v>380</v>
      </c>
      <c r="E53" t="s">
        <v>381</v>
      </c>
      <c r="F53" t="s">
        <v>382</v>
      </c>
      <c r="G53" t="str">
        <f t="shared" si="0"/>
        <v>5AM-01</v>
      </c>
      <c r="H53" t="s">
        <v>66</v>
      </c>
      <c r="I53" t="s">
        <v>67</v>
      </c>
      <c r="J53" t="s">
        <v>67</v>
      </c>
      <c r="K53" t="s">
        <v>68</v>
      </c>
      <c r="L53" t="s">
        <v>69</v>
      </c>
      <c r="M53" t="s">
        <v>494</v>
      </c>
      <c r="N53" t="str">
        <f t="shared" si="1"/>
        <v>July</v>
      </c>
      <c r="O53" t="s">
        <v>494</v>
      </c>
      <c r="P53" t="s">
        <v>71</v>
      </c>
      <c r="Q53" t="s">
        <v>72</v>
      </c>
      <c r="R53" t="s">
        <v>73</v>
      </c>
      <c r="S53" t="s">
        <v>383</v>
      </c>
      <c r="T53" t="s">
        <v>75</v>
      </c>
      <c r="U53" t="s">
        <v>75</v>
      </c>
      <c r="V53" t="s">
        <v>75</v>
      </c>
      <c r="W53" t="s">
        <v>383</v>
      </c>
      <c r="X53" t="s">
        <v>75</v>
      </c>
      <c r="Y53" t="s">
        <v>383</v>
      </c>
      <c r="Z53" t="s">
        <v>76</v>
      </c>
      <c r="AA53" t="s">
        <v>383</v>
      </c>
      <c r="AB53" t="s">
        <v>75</v>
      </c>
      <c r="AC53" t="s">
        <v>75</v>
      </c>
      <c r="AD53" t="s">
        <v>75</v>
      </c>
      <c r="AE53" t="s">
        <v>75</v>
      </c>
      <c r="AF53" t="s">
        <v>75</v>
      </c>
      <c r="AG53" t="s">
        <v>75</v>
      </c>
      <c r="AH53" t="s">
        <v>75</v>
      </c>
      <c r="AI53" t="s">
        <v>75</v>
      </c>
      <c r="AJ53" t="s">
        <v>75</v>
      </c>
      <c r="AK53" t="s">
        <v>75</v>
      </c>
      <c r="AL53" t="s">
        <v>75</v>
      </c>
      <c r="AM53" t="s">
        <v>75</v>
      </c>
      <c r="AN53" t="s">
        <v>75</v>
      </c>
      <c r="AO53" t="s">
        <v>75</v>
      </c>
      <c r="AP53" t="s">
        <v>75</v>
      </c>
      <c r="AQ53" t="s">
        <v>75</v>
      </c>
      <c r="AR53" t="s">
        <v>75</v>
      </c>
      <c r="AS53" t="s">
        <v>75</v>
      </c>
      <c r="AT53" t="s">
        <v>75</v>
      </c>
      <c r="AU53" t="s">
        <v>544</v>
      </c>
      <c r="AV53" t="s">
        <v>545</v>
      </c>
      <c r="AW53" t="s">
        <v>383</v>
      </c>
      <c r="AX53" t="s">
        <v>546</v>
      </c>
      <c r="AY53" t="s">
        <v>502</v>
      </c>
      <c r="AZ53" t="s">
        <v>546</v>
      </c>
      <c r="BA53" t="s">
        <v>1340</v>
      </c>
      <c r="BB53" s="13" t="str">
        <f t="shared" si="2"/>
        <v xml:space="preserve"> Ludhiana</v>
      </c>
      <c r="BC53" t="s">
        <v>502</v>
      </c>
      <c r="BD53" t="s">
        <v>169</v>
      </c>
      <c r="BE53" t="s">
        <v>81</v>
      </c>
      <c r="BF53" t="s">
        <v>82</v>
      </c>
      <c r="BG53" t="s">
        <v>386</v>
      </c>
      <c r="BH53" t="s">
        <v>73</v>
      </c>
      <c r="BI53" t="s">
        <v>73</v>
      </c>
      <c r="BJ53" t="s">
        <v>73</v>
      </c>
      <c r="BK53" t="s">
        <v>547</v>
      </c>
      <c r="BL53" t="s">
        <v>73</v>
      </c>
      <c r="BM53" s="12">
        <v>88</v>
      </c>
    </row>
    <row r="54" spans="1:65">
      <c r="A54" t="s">
        <v>60</v>
      </c>
      <c r="B54" t="s">
        <v>548</v>
      </c>
      <c r="C54" t="s">
        <v>549</v>
      </c>
      <c r="D54" t="s">
        <v>305</v>
      </c>
      <c r="E54" t="s">
        <v>306</v>
      </c>
      <c r="F54" t="s">
        <v>307</v>
      </c>
      <c r="G54" t="str">
        <f t="shared" si="0"/>
        <v>THANGRORICH</v>
      </c>
      <c r="H54" t="s">
        <v>66</v>
      </c>
      <c r="I54" t="s">
        <v>67</v>
      </c>
      <c r="J54" t="s">
        <v>67</v>
      </c>
      <c r="K54" t="s">
        <v>140</v>
      </c>
      <c r="L54" t="s">
        <v>69</v>
      </c>
      <c r="M54" t="s">
        <v>230</v>
      </c>
      <c r="N54" t="str">
        <f t="shared" si="1"/>
        <v>July</v>
      </c>
      <c r="O54" t="s">
        <v>230</v>
      </c>
      <c r="P54" t="s">
        <v>71</v>
      </c>
      <c r="Q54" t="s">
        <v>72</v>
      </c>
      <c r="R54" t="s">
        <v>73</v>
      </c>
      <c r="S54" t="s">
        <v>309</v>
      </c>
      <c r="T54" t="s">
        <v>75</v>
      </c>
      <c r="U54" t="s">
        <v>75</v>
      </c>
      <c r="V54" t="s">
        <v>75</v>
      </c>
      <c r="W54" t="s">
        <v>309</v>
      </c>
      <c r="X54" t="s">
        <v>75</v>
      </c>
      <c r="Y54" t="s">
        <v>309</v>
      </c>
      <c r="Z54" t="s">
        <v>76</v>
      </c>
      <c r="AA54" t="s">
        <v>309</v>
      </c>
      <c r="AB54" t="s">
        <v>75</v>
      </c>
      <c r="AC54" t="s">
        <v>75</v>
      </c>
      <c r="AD54" t="s">
        <v>75</v>
      </c>
      <c r="AE54" t="s">
        <v>75</v>
      </c>
      <c r="AF54" t="s">
        <v>75</v>
      </c>
      <c r="AG54" t="s">
        <v>75</v>
      </c>
      <c r="AH54" t="s">
        <v>75</v>
      </c>
      <c r="AI54" t="s">
        <v>75</v>
      </c>
      <c r="AJ54" t="s">
        <v>75</v>
      </c>
      <c r="AK54" t="s">
        <v>75</v>
      </c>
      <c r="AL54" t="s">
        <v>75</v>
      </c>
      <c r="AM54" t="s">
        <v>75</v>
      </c>
      <c r="AN54" t="s">
        <v>75</v>
      </c>
      <c r="AO54" t="s">
        <v>75</v>
      </c>
      <c r="AP54" t="s">
        <v>75</v>
      </c>
      <c r="AQ54" t="s">
        <v>75</v>
      </c>
      <c r="AR54" t="s">
        <v>75</v>
      </c>
      <c r="AS54" t="s">
        <v>75</v>
      </c>
      <c r="AT54" t="s">
        <v>75</v>
      </c>
      <c r="AU54" t="s">
        <v>550</v>
      </c>
      <c r="AV54" t="s">
        <v>551</v>
      </c>
      <c r="AW54" t="s">
        <v>309</v>
      </c>
      <c r="AX54" t="s">
        <v>552</v>
      </c>
      <c r="AY54" t="s">
        <v>395</v>
      </c>
      <c r="AZ54" t="s">
        <v>552</v>
      </c>
      <c r="BA54" t="s">
        <v>1341</v>
      </c>
      <c r="BB54" s="13" t="str">
        <f t="shared" si="2"/>
        <v xml:space="preserve"> Hyderabad</v>
      </c>
      <c r="BC54" t="s">
        <v>395</v>
      </c>
      <c r="BD54" t="s">
        <v>313</v>
      </c>
      <c r="BE54" t="s">
        <v>81</v>
      </c>
      <c r="BF54" t="s">
        <v>82</v>
      </c>
      <c r="BG54" t="s">
        <v>314</v>
      </c>
      <c r="BH54" t="s">
        <v>73</v>
      </c>
      <c r="BI54" t="s">
        <v>73</v>
      </c>
      <c r="BJ54" t="s">
        <v>73</v>
      </c>
      <c r="BK54" t="s">
        <v>553</v>
      </c>
      <c r="BL54" t="s">
        <v>73</v>
      </c>
      <c r="BM54" s="12">
        <v>75</v>
      </c>
    </row>
    <row r="55" spans="1:65">
      <c r="A55" t="s">
        <v>60</v>
      </c>
      <c r="B55" t="s">
        <v>554</v>
      </c>
      <c r="C55" t="s">
        <v>555</v>
      </c>
      <c r="D55" t="s">
        <v>556</v>
      </c>
      <c r="E55" t="s">
        <v>557</v>
      </c>
      <c r="F55" t="s">
        <v>558</v>
      </c>
      <c r="G55" t="str">
        <f t="shared" si="0"/>
        <v>THEWARRENBUFFET-1</v>
      </c>
      <c r="H55" t="s">
        <v>66</v>
      </c>
      <c r="I55" t="s">
        <v>67</v>
      </c>
      <c r="J55" t="s">
        <v>67</v>
      </c>
      <c r="K55" t="s">
        <v>68</v>
      </c>
      <c r="L55" t="s">
        <v>69</v>
      </c>
      <c r="M55" t="s">
        <v>351</v>
      </c>
      <c r="N55" t="str">
        <f t="shared" si="1"/>
        <v>July</v>
      </c>
      <c r="O55" t="s">
        <v>351</v>
      </c>
      <c r="P55" t="s">
        <v>71</v>
      </c>
      <c r="Q55" t="s">
        <v>72</v>
      </c>
      <c r="R55" t="s">
        <v>73</v>
      </c>
      <c r="S55" t="s">
        <v>559</v>
      </c>
      <c r="T55" t="s">
        <v>75</v>
      </c>
      <c r="U55" t="s">
        <v>75</v>
      </c>
      <c r="V55" t="s">
        <v>75</v>
      </c>
      <c r="W55" t="s">
        <v>559</v>
      </c>
      <c r="X55" t="s">
        <v>75</v>
      </c>
      <c r="Y55" t="s">
        <v>559</v>
      </c>
      <c r="Z55" t="s">
        <v>76</v>
      </c>
      <c r="AA55" t="s">
        <v>559</v>
      </c>
      <c r="AB55" t="s">
        <v>75</v>
      </c>
      <c r="AC55" t="s">
        <v>75</v>
      </c>
      <c r="AD55" t="s">
        <v>75</v>
      </c>
      <c r="AE55" t="s">
        <v>75</v>
      </c>
      <c r="AF55" t="s">
        <v>75</v>
      </c>
      <c r="AG55" t="s">
        <v>75</v>
      </c>
      <c r="AH55" t="s">
        <v>75</v>
      </c>
      <c r="AI55" t="s">
        <v>75</v>
      </c>
      <c r="AJ55" t="s">
        <v>75</v>
      </c>
      <c r="AK55" t="s">
        <v>75</v>
      </c>
      <c r="AL55" t="s">
        <v>75</v>
      </c>
      <c r="AM55" t="s">
        <v>75</v>
      </c>
      <c r="AN55" t="s">
        <v>75</v>
      </c>
      <c r="AO55" t="s">
        <v>75</v>
      </c>
      <c r="AP55" t="s">
        <v>75</v>
      </c>
      <c r="AQ55" t="s">
        <v>75</v>
      </c>
      <c r="AR55" t="s">
        <v>75</v>
      </c>
      <c r="AS55" t="s">
        <v>75</v>
      </c>
      <c r="AT55" t="s">
        <v>75</v>
      </c>
      <c r="AU55" t="s">
        <v>560</v>
      </c>
      <c r="AV55" t="s">
        <v>561</v>
      </c>
      <c r="AW55" t="s">
        <v>559</v>
      </c>
      <c r="AX55" t="s">
        <v>562</v>
      </c>
      <c r="AY55" t="s">
        <v>563</v>
      </c>
      <c r="AZ55" t="s">
        <v>562</v>
      </c>
      <c r="BA55" t="s">
        <v>1342</v>
      </c>
      <c r="BB55" s="13" t="str">
        <f t="shared" si="2"/>
        <v xml:space="preserve"> Bhagalpur</v>
      </c>
      <c r="BC55" t="s">
        <v>563</v>
      </c>
      <c r="BD55" t="s">
        <v>503</v>
      </c>
      <c r="BE55" t="s">
        <v>81</v>
      </c>
      <c r="BF55" t="s">
        <v>82</v>
      </c>
      <c r="BG55" t="s">
        <v>564</v>
      </c>
      <c r="BH55" t="s">
        <v>73</v>
      </c>
      <c r="BI55" t="s">
        <v>73</v>
      </c>
      <c r="BJ55" t="s">
        <v>73</v>
      </c>
      <c r="BK55" t="s">
        <v>565</v>
      </c>
      <c r="BL55" t="s">
        <v>73</v>
      </c>
      <c r="BM55" s="12">
        <v>83</v>
      </c>
    </row>
    <row r="56" spans="1:65">
      <c r="A56" t="s">
        <v>60</v>
      </c>
      <c r="B56" t="s">
        <v>435</v>
      </c>
      <c r="C56" t="s">
        <v>436</v>
      </c>
      <c r="D56" t="s">
        <v>437</v>
      </c>
      <c r="E56" t="s">
        <v>438</v>
      </c>
      <c r="F56" t="s">
        <v>439</v>
      </c>
      <c r="G56" t="str">
        <f t="shared" si="0"/>
        <v>RICH-DAD-HINDI03</v>
      </c>
      <c r="H56" t="s">
        <v>66</v>
      </c>
      <c r="I56" t="s">
        <v>138</v>
      </c>
      <c r="J56" t="s">
        <v>138</v>
      </c>
      <c r="K56" t="s">
        <v>140</v>
      </c>
      <c r="L56" t="s">
        <v>69</v>
      </c>
      <c r="M56" t="s">
        <v>440</v>
      </c>
      <c r="N56" t="str">
        <f t="shared" si="1"/>
        <v>July</v>
      </c>
      <c r="O56" t="s">
        <v>440</v>
      </c>
      <c r="P56" t="s">
        <v>71</v>
      </c>
      <c r="Q56" t="s">
        <v>72</v>
      </c>
      <c r="R56" t="s">
        <v>73</v>
      </c>
      <c r="S56" t="s">
        <v>441</v>
      </c>
      <c r="T56" t="s">
        <v>75</v>
      </c>
      <c r="U56" t="s">
        <v>75</v>
      </c>
      <c r="V56" t="s">
        <v>75</v>
      </c>
      <c r="W56" t="s">
        <v>441</v>
      </c>
      <c r="X56" t="s">
        <v>75</v>
      </c>
      <c r="Y56" t="s">
        <v>441</v>
      </c>
      <c r="Z56" t="s">
        <v>76</v>
      </c>
      <c r="AA56" t="s">
        <v>566</v>
      </c>
      <c r="AB56" t="s">
        <v>75</v>
      </c>
      <c r="AC56" t="s">
        <v>75</v>
      </c>
      <c r="AD56" t="s">
        <v>75</v>
      </c>
      <c r="AE56" t="s">
        <v>75</v>
      </c>
      <c r="AF56" t="s">
        <v>75</v>
      </c>
      <c r="AG56" t="s">
        <v>75</v>
      </c>
      <c r="AH56" t="s">
        <v>75</v>
      </c>
      <c r="AI56" t="s">
        <v>75</v>
      </c>
      <c r="AJ56" t="s">
        <v>75</v>
      </c>
      <c r="AK56" t="s">
        <v>75</v>
      </c>
      <c r="AL56" t="s">
        <v>75</v>
      </c>
      <c r="AM56" t="s">
        <v>75</v>
      </c>
      <c r="AN56" t="s">
        <v>75</v>
      </c>
      <c r="AO56" t="s">
        <v>75</v>
      </c>
      <c r="AP56" t="s">
        <v>75</v>
      </c>
      <c r="AQ56" t="s">
        <v>75</v>
      </c>
      <c r="AR56" t="s">
        <v>75</v>
      </c>
      <c r="AS56" t="s">
        <v>75</v>
      </c>
      <c r="AT56" t="s">
        <v>75</v>
      </c>
      <c r="AU56" t="s">
        <v>567</v>
      </c>
      <c r="AV56" t="s">
        <v>568</v>
      </c>
      <c r="AW56" t="s">
        <v>566</v>
      </c>
      <c r="AX56" t="s">
        <v>443</v>
      </c>
      <c r="AY56" t="s">
        <v>261</v>
      </c>
      <c r="AZ56" t="s">
        <v>443</v>
      </c>
      <c r="BA56" t="s">
        <v>1329</v>
      </c>
      <c r="BB56" s="13" t="str">
        <f t="shared" si="2"/>
        <v xml:space="preserve"> Gorakhpur</v>
      </c>
      <c r="BC56" t="s">
        <v>261</v>
      </c>
      <c r="BD56" t="s">
        <v>73</v>
      </c>
      <c r="BE56" t="s">
        <v>81</v>
      </c>
      <c r="BF56" t="s">
        <v>82</v>
      </c>
      <c r="BG56" t="s">
        <v>444</v>
      </c>
      <c r="BH56" t="s">
        <v>73</v>
      </c>
      <c r="BI56" t="s">
        <v>73</v>
      </c>
      <c r="BJ56" t="s">
        <v>73</v>
      </c>
      <c r="BK56" t="s">
        <v>445</v>
      </c>
      <c r="BL56" t="s">
        <v>73</v>
      </c>
      <c r="BM56" s="12">
        <v>71</v>
      </c>
    </row>
    <row r="57" spans="1:65">
      <c r="A57" t="s">
        <v>60</v>
      </c>
      <c r="B57" t="s">
        <v>569</v>
      </c>
      <c r="C57" t="s">
        <v>570</v>
      </c>
      <c r="D57" t="s">
        <v>348</v>
      </c>
      <c r="E57" t="s">
        <v>349</v>
      </c>
      <c r="F57" t="s">
        <v>350</v>
      </c>
      <c r="G57" t="str">
        <f t="shared" si="0"/>
        <v>7HABITS07</v>
      </c>
      <c r="H57" t="s">
        <v>66</v>
      </c>
      <c r="I57" t="s">
        <v>67</v>
      </c>
      <c r="J57" t="s">
        <v>67</v>
      </c>
      <c r="K57" t="s">
        <v>68</v>
      </c>
      <c r="L57" t="s">
        <v>69</v>
      </c>
      <c r="M57" t="s">
        <v>423</v>
      </c>
      <c r="N57" t="str">
        <f t="shared" si="1"/>
        <v>July</v>
      </c>
      <c r="O57" t="s">
        <v>423</v>
      </c>
      <c r="P57" t="s">
        <v>71</v>
      </c>
      <c r="Q57" t="s">
        <v>72</v>
      </c>
      <c r="R57" t="s">
        <v>73</v>
      </c>
      <c r="S57" t="s">
        <v>294</v>
      </c>
      <c r="T57" t="s">
        <v>366</v>
      </c>
      <c r="U57" t="s">
        <v>75</v>
      </c>
      <c r="V57" t="s">
        <v>366</v>
      </c>
      <c r="W57" t="s">
        <v>309</v>
      </c>
      <c r="X57" t="s">
        <v>75</v>
      </c>
      <c r="Y57" t="s">
        <v>309</v>
      </c>
      <c r="Z57" t="s">
        <v>76</v>
      </c>
      <c r="AA57" t="s">
        <v>309</v>
      </c>
      <c r="AB57" t="s">
        <v>75</v>
      </c>
      <c r="AC57" t="s">
        <v>75</v>
      </c>
      <c r="AD57" t="s">
        <v>75</v>
      </c>
      <c r="AE57" t="s">
        <v>75</v>
      </c>
      <c r="AF57" t="s">
        <v>75</v>
      </c>
      <c r="AG57" t="s">
        <v>75</v>
      </c>
      <c r="AH57" t="s">
        <v>75</v>
      </c>
      <c r="AI57" t="s">
        <v>75</v>
      </c>
      <c r="AJ57" t="s">
        <v>75</v>
      </c>
      <c r="AK57" t="s">
        <v>75</v>
      </c>
      <c r="AL57" t="s">
        <v>75</v>
      </c>
      <c r="AM57" t="s">
        <v>75</v>
      </c>
      <c r="AN57" t="s">
        <v>75</v>
      </c>
      <c r="AO57" t="s">
        <v>75</v>
      </c>
      <c r="AP57" t="s">
        <v>75</v>
      </c>
      <c r="AQ57" t="s">
        <v>75</v>
      </c>
      <c r="AR57" t="s">
        <v>75</v>
      </c>
      <c r="AS57" t="s">
        <v>75</v>
      </c>
      <c r="AT57" t="s">
        <v>75</v>
      </c>
      <c r="AU57" t="s">
        <v>571</v>
      </c>
      <c r="AV57" t="s">
        <v>545</v>
      </c>
      <c r="AW57" t="s">
        <v>309</v>
      </c>
      <c r="AX57" t="s">
        <v>572</v>
      </c>
      <c r="AY57" t="s">
        <v>160</v>
      </c>
      <c r="AZ57" t="s">
        <v>572</v>
      </c>
      <c r="BA57" s="13" t="s">
        <v>1343</v>
      </c>
      <c r="BB57" s="13" t="str">
        <f t="shared" si="2"/>
        <v xml:space="preserve"> Chandigarh</v>
      </c>
      <c r="BC57" t="s">
        <v>160</v>
      </c>
      <c r="BD57" t="s">
        <v>198</v>
      </c>
      <c r="BE57" t="s">
        <v>81</v>
      </c>
      <c r="BF57" t="s">
        <v>82</v>
      </c>
      <c r="BG57" t="s">
        <v>314</v>
      </c>
      <c r="BH57" t="s">
        <v>73</v>
      </c>
      <c r="BI57" t="s">
        <v>73</v>
      </c>
      <c r="BJ57" t="s">
        <v>73</v>
      </c>
      <c r="BK57" t="s">
        <v>573</v>
      </c>
      <c r="BL57" t="s">
        <v>73</v>
      </c>
      <c r="BM57" s="12">
        <v>87</v>
      </c>
    </row>
    <row r="58" spans="1:65">
      <c r="A58" t="s">
        <v>60</v>
      </c>
      <c r="B58" t="s">
        <v>574</v>
      </c>
      <c r="C58" t="s">
        <v>575</v>
      </c>
      <c r="D58" t="s">
        <v>576</v>
      </c>
      <c r="E58" t="s">
        <v>577</v>
      </c>
      <c r="F58" t="s">
        <v>578</v>
      </c>
      <c r="G58" t="str">
        <f t="shared" si="0"/>
        <v>PSYCH-5AM</v>
      </c>
      <c r="H58" t="s">
        <v>66</v>
      </c>
      <c r="I58" t="s">
        <v>67</v>
      </c>
      <c r="J58" t="s">
        <v>67</v>
      </c>
      <c r="K58" t="s">
        <v>68</v>
      </c>
      <c r="L58" t="s">
        <v>69</v>
      </c>
      <c r="M58" t="s">
        <v>485</v>
      </c>
      <c r="N58" t="str">
        <f t="shared" si="1"/>
        <v>July</v>
      </c>
      <c r="O58" t="s">
        <v>485</v>
      </c>
      <c r="P58" t="s">
        <v>71</v>
      </c>
      <c r="Q58" t="s">
        <v>72</v>
      </c>
      <c r="R58" t="s">
        <v>73</v>
      </c>
      <c r="S58" t="s">
        <v>257</v>
      </c>
      <c r="T58" t="s">
        <v>496</v>
      </c>
      <c r="U58" t="s">
        <v>75</v>
      </c>
      <c r="V58" t="s">
        <v>496</v>
      </c>
      <c r="W58" t="s">
        <v>579</v>
      </c>
      <c r="X58" t="s">
        <v>75</v>
      </c>
      <c r="Y58" t="s">
        <v>579</v>
      </c>
      <c r="Z58" t="s">
        <v>76</v>
      </c>
      <c r="AA58" t="s">
        <v>579</v>
      </c>
      <c r="AB58" t="s">
        <v>75</v>
      </c>
      <c r="AC58" t="s">
        <v>75</v>
      </c>
      <c r="AD58" t="s">
        <v>75</v>
      </c>
      <c r="AE58" t="s">
        <v>75</v>
      </c>
      <c r="AF58" t="s">
        <v>75</v>
      </c>
      <c r="AG58" t="s">
        <v>75</v>
      </c>
      <c r="AH58" t="s">
        <v>75</v>
      </c>
      <c r="AI58" t="s">
        <v>75</v>
      </c>
      <c r="AJ58" t="s">
        <v>75</v>
      </c>
      <c r="AK58" t="s">
        <v>75</v>
      </c>
      <c r="AL58" t="s">
        <v>75</v>
      </c>
      <c r="AM58" t="s">
        <v>75</v>
      </c>
      <c r="AN58" t="s">
        <v>75</v>
      </c>
      <c r="AO58" t="s">
        <v>75</v>
      </c>
      <c r="AP58" t="s">
        <v>75</v>
      </c>
      <c r="AQ58" t="s">
        <v>75</v>
      </c>
      <c r="AR58" t="s">
        <v>75</v>
      </c>
      <c r="AS58" t="s">
        <v>75</v>
      </c>
      <c r="AT58" t="s">
        <v>75</v>
      </c>
      <c r="AU58" t="s">
        <v>580</v>
      </c>
      <c r="AV58" t="s">
        <v>480</v>
      </c>
      <c r="AW58" t="s">
        <v>579</v>
      </c>
      <c r="AX58" t="s">
        <v>581</v>
      </c>
      <c r="AY58" t="s">
        <v>117</v>
      </c>
      <c r="AZ58" t="s">
        <v>581</v>
      </c>
      <c r="BA58" t="s">
        <v>1344</v>
      </c>
      <c r="BB58" s="13" t="str">
        <f t="shared" si="2"/>
        <v xml:space="preserve"> Mumbai</v>
      </c>
      <c r="BC58" t="s">
        <v>117</v>
      </c>
      <c r="BD58" t="s">
        <v>73</v>
      </c>
      <c r="BE58" t="s">
        <v>81</v>
      </c>
      <c r="BF58" t="s">
        <v>82</v>
      </c>
      <c r="BG58" t="s">
        <v>582</v>
      </c>
      <c r="BH58" t="s">
        <v>73</v>
      </c>
      <c r="BI58" t="s">
        <v>73</v>
      </c>
      <c r="BJ58" t="s">
        <v>73</v>
      </c>
      <c r="BK58" t="s">
        <v>583</v>
      </c>
      <c r="BL58" t="s">
        <v>73</v>
      </c>
      <c r="BM58" s="12">
        <v>82</v>
      </c>
    </row>
    <row r="59" spans="1:65">
      <c r="A59" t="s">
        <v>60</v>
      </c>
      <c r="B59" t="s">
        <v>584</v>
      </c>
      <c r="C59" t="s">
        <v>585</v>
      </c>
      <c r="D59" t="s">
        <v>586</v>
      </c>
      <c r="E59" t="s">
        <v>587</v>
      </c>
      <c r="F59" t="s">
        <v>588</v>
      </c>
      <c r="G59" t="str">
        <f t="shared" si="0"/>
        <v>DO-EPIC-SHIT03</v>
      </c>
      <c r="H59" t="s">
        <v>66</v>
      </c>
      <c r="I59" t="s">
        <v>67</v>
      </c>
      <c r="J59" t="s">
        <v>67</v>
      </c>
      <c r="K59" t="s">
        <v>68</v>
      </c>
      <c r="L59" t="s">
        <v>69</v>
      </c>
      <c r="M59" t="s">
        <v>423</v>
      </c>
      <c r="N59" t="str">
        <f t="shared" si="1"/>
        <v>July</v>
      </c>
      <c r="O59" t="s">
        <v>423</v>
      </c>
      <c r="P59" t="s">
        <v>71</v>
      </c>
      <c r="Q59" t="s">
        <v>72</v>
      </c>
      <c r="R59" t="s">
        <v>73</v>
      </c>
      <c r="S59" t="s">
        <v>589</v>
      </c>
      <c r="T59" t="s">
        <v>75</v>
      </c>
      <c r="U59" t="s">
        <v>75</v>
      </c>
      <c r="V59" t="s">
        <v>75</v>
      </c>
      <c r="W59" t="s">
        <v>589</v>
      </c>
      <c r="X59" t="s">
        <v>75</v>
      </c>
      <c r="Y59" t="s">
        <v>589</v>
      </c>
      <c r="Z59" t="s">
        <v>76</v>
      </c>
      <c r="AA59" t="s">
        <v>589</v>
      </c>
      <c r="AB59" t="s">
        <v>75</v>
      </c>
      <c r="AC59" t="s">
        <v>75</v>
      </c>
      <c r="AD59" t="s">
        <v>75</v>
      </c>
      <c r="AE59" t="s">
        <v>75</v>
      </c>
      <c r="AF59" t="s">
        <v>75</v>
      </c>
      <c r="AG59" t="s">
        <v>75</v>
      </c>
      <c r="AH59" t="s">
        <v>75</v>
      </c>
      <c r="AI59" t="s">
        <v>75</v>
      </c>
      <c r="AJ59" t="s">
        <v>75</v>
      </c>
      <c r="AK59" t="s">
        <v>75</v>
      </c>
      <c r="AL59" t="s">
        <v>75</v>
      </c>
      <c r="AM59" t="s">
        <v>75</v>
      </c>
      <c r="AN59" t="s">
        <v>75</v>
      </c>
      <c r="AO59" t="s">
        <v>75</v>
      </c>
      <c r="AP59" t="s">
        <v>75</v>
      </c>
      <c r="AQ59" t="s">
        <v>75</v>
      </c>
      <c r="AR59" t="s">
        <v>75</v>
      </c>
      <c r="AS59" t="s">
        <v>75</v>
      </c>
      <c r="AT59" t="s">
        <v>75</v>
      </c>
      <c r="AU59" t="s">
        <v>590</v>
      </c>
      <c r="AV59" t="s">
        <v>545</v>
      </c>
      <c r="AW59" t="s">
        <v>589</v>
      </c>
      <c r="AX59" t="s">
        <v>591</v>
      </c>
      <c r="AY59" t="s">
        <v>592</v>
      </c>
      <c r="AZ59" t="s">
        <v>591</v>
      </c>
      <c r="BA59" t="s">
        <v>1345</v>
      </c>
      <c r="BB59" s="13" t="str">
        <f t="shared" si="2"/>
        <v xml:space="preserve"> New Delhi</v>
      </c>
      <c r="BC59" t="s">
        <v>592</v>
      </c>
      <c r="BD59" t="s">
        <v>593</v>
      </c>
      <c r="BE59" t="s">
        <v>81</v>
      </c>
      <c r="BF59" t="s">
        <v>82</v>
      </c>
      <c r="BG59" t="s">
        <v>594</v>
      </c>
      <c r="BH59" t="s">
        <v>73</v>
      </c>
      <c r="BI59" t="s">
        <v>73</v>
      </c>
      <c r="BJ59" t="s">
        <v>73</v>
      </c>
      <c r="BK59" t="s">
        <v>595</v>
      </c>
      <c r="BL59" t="s">
        <v>73</v>
      </c>
      <c r="BM59" s="12">
        <v>89</v>
      </c>
    </row>
    <row r="60" spans="1:65">
      <c r="A60" t="s">
        <v>60</v>
      </c>
      <c r="B60" t="s">
        <v>489</v>
      </c>
      <c r="C60" t="s">
        <v>490</v>
      </c>
      <c r="D60" t="s">
        <v>491</v>
      </c>
      <c r="E60" t="s">
        <v>492</v>
      </c>
      <c r="F60" t="s">
        <v>493</v>
      </c>
      <c r="G60" t="str">
        <f t="shared" si="0"/>
        <v>WHO-MINDSET</v>
      </c>
      <c r="H60" t="s">
        <v>66</v>
      </c>
      <c r="I60" t="s">
        <v>67</v>
      </c>
      <c r="J60" t="s">
        <v>67</v>
      </c>
      <c r="K60" t="s">
        <v>140</v>
      </c>
      <c r="L60" t="s">
        <v>69</v>
      </c>
      <c r="M60" t="s">
        <v>494</v>
      </c>
      <c r="N60" t="str">
        <f t="shared" si="1"/>
        <v>July</v>
      </c>
      <c r="O60" t="s">
        <v>494</v>
      </c>
      <c r="P60" t="s">
        <v>71</v>
      </c>
      <c r="Q60" t="s">
        <v>72</v>
      </c>
      <c r="R60" t="s">
        <v>73</v>
      </c>
      <c r="S60" t="s">
        <v>495</v>
      </c>
      <c r="T60" t="s">
        <v>496</v>
      </c>
      <c r="U60" t="s">
        <v>75</v>
      </c>
      <c r="V60" t="s">
        <v>496</v>
      </c>
      <c r="W60" t="s">
        <v>497</v>
      </c>
      <c r="X60" t="s">
        <v>75</v>
      </c>
      <c r="Y60" t="s">
        <v>497</v>
      </c>
      <c r="Z60" t="s">
        <v>76</v>
      </c>
      <c r="AA60" t="s">
        <v>497</v>
      </c>
      <c r="AB60" t="s">
        <v>75</v>
      </c>
      <c r="AC60" t="s">
        <v>75</v>
      </c>
      <c r="AD60" t="s">
        <v>75</v>
      </c>
      <c r="AE60" t="s">
        <v>75</v>
      </c>
      <c r="AF60" t="s">
        <v>75</v>
      </c>
      <c r="AG60" t="s">
        <v>75</v>
      </c>
      <c r="AH60" t="s">
        <v>75</v>
      </c>
      <c r="AI60" t="s">
        <v>75</v>
      </c>
      <c r="AJ60" t="s">
        <v>75</v>
      </c>
      <c r="AK60" t="s">
        <v>75</v>
      </c>
      <c r="AL60" t="s">
        <v>75</v>
      </c>
      <c r="AM60" t="s">
        <v>75</v>
      </c>
      <c r="AN60" t="s">
        <v>75</v>
      </c>
      <c r="AO60" t="s">
        <v>75</v>
      </c>
      <c r="AP60" t="s">
        <v>75</v>
      </c>
      <c r="AQ60" t="s">
        <v>75</v>
      </c>
      <c r="AR60" t="s">
        <v>75</v>
      </c>
      <c r="AS60" t="s">
        <v>75</v>
      </c>
      <c r="AT60" t="s">
        <v>75</v>
      </c>
      <c r="AU60" t="s">
        <v>596</v>
      </c>
      <c r="AV60" t="s">
        <v>561</v>
      </c>
      <c r="AW60" t="s">
        <v>497</v>
      </c>
      <c r="AX60" t="s">
        <v>501</v>
      </c>
      <c r="AY60" t="s">
        <v>502</v>
      </c>
      <c r="AZ60" t="s">
        <v>501</v>
      </c>
      <c r="BA60" t="s">
        <v>1335</v>
      </c>
      <c r="BB60" s="13" t="str">
        <f t="shared" si="2"/>
        <v xml:space="preserve"> Jalandhar</v>
      </c>
      <c r="BC60" t="s">
        <v>502</v>
      </c>
      <c r="BD60" t="s">
        <v>503</v>
      </c>
      <c r="BE60" t="s">
        <v>81</v>
      </c>
      <c r="BF60" t="s">
        <v>82</v>
      </c>
      <c r="BG60" t="s">
        <v>504</v>
      </c>
      <c r="BH60" t="s">
        <v>73</v>
      </c>
      <c r="BI60" t="s">
        <v>73</v>
      </c>
      <c r="BJ60" t="s">
        <v>73</v>
      </c>
      <c r="BK60" t="s">
        <v>505</v>
      </c>
      <c r="BL60" t="s">
        <v>73</v>
      </c>
      <c r="BM60" s="12">
        <v>73</v>
      </c>
    </row>
    <row r="61" spans="1:65">
      <c r="A61" t="s">
        <v>60</v>
      </c>
      <c r="B61" t="s">
        <v>597</v>
      </c>
      <c r="C61" t="s">
        <v>598</v>
      </c>
      <c r="D61" t="s">
        <v>348</v>
      </c>
      <c r="E61" t="s">
        <v>349</v>
      </c>
      <c r="F61" t="s">
        <v>350</v>
      </c>
      <c r="G61" t="str">
        <f t="shared" si="0"/>
        <v>7HABITS07</v>
      </c>
      <c r="H61" t="s">
        <v>66</v>
      </c>
      <c r="I61" t="s">
        <v>67</v>
      </c>
      <c r="J61" t="s">
        <v>67</v>
      </c>
      <c r="K61" t="s">
        <v>140</v>
      </c>
      <c r="L61" t="s">
        <v>69</v>
      </c>
      <c r="M61" t="s">
        <v>423</v>
      </c>
      <c r="N61" t="str">
        <f t="shared" si="1"/>
        <v>July</v>
      </c>
      <c r="O61" t="s">
        <v>423</v>
      </c>
      <c r="P61" t="s">
        <v>71</v>
      </c>
      <c r="Q61" t="s">
        <v>72</v>
      </c>
      <c r="R61" t="s">
        <v>73</v>
      </c>
      <c r="S61" t="s">
        <v>294</v>
      </c>
      <c r="T61" t="s">
        <v>75</v>
      </c>
      <c r="U61" t="s">
        <v>75</v>
      </c>
      <c r="V61" t="s">
        <v>75</v>
      </c>
      <c r="W61" t="s">
        <v>294</v>
      </c>
      <c r="X61" t="s">
        <v>75</v>
      </c>
      <c r="Y61" t="s">
        <v>294</v>
      </c>
      <c r="Z61" t="s">
        <v>76</v>
      </c>
      <c r="AA61" t="s">
        <v>294</v>
      </c>
      <c r="AB61" t="s">
        <v>75</v>
      </c>
      <c r="AC61" t="s">
        <v>75</v>
      </c>
      <c r="AD61" t="s">
        <v>75</v>
      </c>
      <c r="AE61" t="s">
        <v>75</v>
      </c>
      <c r="AF61" t="s">
        <v>75</v>
      </c>
      <c r="AG61" t="s">
        <v>75</v>
      </c>
      <c r="AH61" t="s">
        <v>75</v>
      </c>
      <c r="AI61" t="s">
        <v>75</v>
      </c>
      <c r="AJ61" t="s">
        <v>75</v>
      </c>
      <c r="AK61" t="s">
        <v>75</v>
      </c>
      <c r="AL61" t="s">
        <v>75</v>
      </c>
      <c r="AM61" t="s">
        <v>75</v>
      </c>
      <c r="AN61" t="s">
        <v>75</v>
      </c>
      <c r="AO61" t="s">
        <v>75</v>
      </c>
      <c r="AP61" t="s">
        <v>75</v>
      </c>
      <c r="AQ61" t="s">
        <v>75</v>
      </c>
      <c r="AR61" t="s">
        <v>75</v>
      </c>
      <c r="AS61" t="s">
        <v>75</v>
      </c>
      <c r="AT61" t="s">
        <v>75</v>
      </c>
      <c r="AU61" t="s">
        <v>599</v>
      </c>
      <c r="AV61" t="s">
        <v>426</v>
      </c>
      <c r="AW61" t="s">
        <v>294</v>
      </c>
      <c r="AX61" t="s">
        <v>600</v>
      </c>
      <c r="AY61" t="s">
        <v>117</v>
      </c>
      <c r="AZ61" t="s">
        <v>600</v>
      </c>
      <c r="BA61" t="s">
        <v>1346</v>
      </c>
      <c r="BB61" s="13" t="str">
        <f t="shared" si="2"/>
        <v xml:space="preserve"> Nashik</v>
      </c>
      <c r="BC61" t="s">
        <v>117</v>
      </c>
      <c r="BD61" t="s">
        <v>198</v>
      </c>
      <c r="BE61" t="s">
        <v>81</v>
      </c>
      <c r="BF61" t="s">
        <v>82</v>
      </c>
      <c r="BG61" t="s">
        <v>299</v>
      </c>
      <c r="BH61" t="s">
        <v>73</v>
      </c>
      <c r="BI61" t="s">
        <v>73</v>
      </c>
      <c r="BJ61" t="s">
        <v>73</v>
      </c>
      <c r="BK61" t="s">
        <v>601</v>
      </c>
      <c r="BL61" t="s">
        <v>73</v>
      </c>
      <c r="BM61" s="12">
        <v>80</v>
      </c>
    </row>
    <row r="62" spans="1:65">
      <c r="A62" t="s">
        <v>60</v>
      </c>
      <c r="B62" t="s">
        <v>446</v>
      </c>
      <c r="C62" t="s">
        <v>447</v>
      </c>
      <c r="D62" t="s">
        <v>448</v>
      </c>
      <c r="E62" t="s">
        <v>449</v>
      </c>
      <c r="F62" t="s">
        <v>450</v>
      </c>
      <c r="G62" t="str">
        <f t="shared" si="0"/>
        <v>ENERGIZE-YOUR-MIND</v>
      </c>
      <c r="H62" t="s">
        <v>66</v>
      </c>
      <c r="I62" t="s">
        <v>67</v>
      </c>
      <c r="J62" t="s">
        <v>67</v>
      </c>
      <c r="K62" t="s">
        <v>140</v>
      </c>
      <c r="L62" t="s">
        <v>69</v>
      </c>
      <c r="M62" t="s">
        <v>451</v>
      </c>
      <c r="N62" t="str">
        <f t="shared" si="1"/>
        <v>July</v>
      </c>
      <c r="O62" t="s">
        <v>451</v>
      </c>
      <c r="P62" t="s">
        <v>71</v>
      </c>
      <c r="Q62" t="s">
        <v>72</v>
      </c>
      <c r="R62" t="s">
        <v>73</v>
      </c>
      <c r="S62" t="s">
        <v>452</v>
      </c>
      <c r="T62" t="s">
        <v>453</v>
      </c>
      <c r="U62" t="s">
        <v>75</v>
      </c>
      <c r="V62" t="s">
        <v>453</v>
      </c>
      <c r="W62" t="s">
        <v>454</v>
      </c>
      <c r="X62" t="s">
        <v>75</v>
      </c>
      <c r="Y62" t="s">
        <v>454</v>
      </c>
      <c r="Z62" t="s">
        <v>76</v>
      </c>
      <c r="AA62" t="s">
        <v>454</v>
      </c>
      <c r="AB62" t="s">
        <v>75</v>
      </c>
      <c r="AC62" t="s">
        <v>75</v>
      </c>
      <c r="AD62" t="s">
        <v>75</v>
      </c>
      <c r="AE62" t="s">
        <v>75</v>
      </c>
      <c r="AF62" t="s">
        <v>75</v>
      </c>
      <c r="AG62" t="s">
        <v>75</v>
      </c>
      <c r="AH62" t="s">
        <v>75</v>
      </c>
      <c r="AI62" t="s">
        <v>75</v>
      </c>
      <c r="AJ62" t="s">
        <v>75</v>
      </c>
      <c r="AK62" t="s">
        <v>75</v>
      </c>
      <c r="AL62" t="s">
        <v>75</v>
      </c>
      <c r="AM62" t="s">
        <v>75</v>
      </c>
      <c r="AN62" t="s">
        <v>75</v>
      </c>
      <c r="AO62" t="s">
        <v>75</v>
      </c>
      <c r="AP62" t="s">
        <v>75</v>
      </c>
      <c r="AQ62" t="s">
        <v>75</v>
      </c>
      <c r="AR62" t="s">
        <v>75</v>
      </c>
      <c r="AS62" t="s">
        <v>75</v>
      </c>
      <c r="AT62" t="s">
        <v>75</v>
      </c>
      <c r="AU62" t="s">
        <v>602</v>
      </c>
      <c r="AV62" t="s">
        <v>353</v>
      </c>
      <c r="AW62" t="s">
        <v>454</v>
      </c>
      <c r="AX62" t="s">
        <v>457</v>
      </c>
      <c r="AY62" t="s">
        <v>458</v>
      </c>
      <c r="AZ62" t="s">
        <v>457</v>
      </c>
      <c r="BA62" t="s">
        <v>1407</v>
      </c>
      <c r="BB62" s="13" t="str">
        <f t="shared" si="2"/>
        <v xml:space="preserve"> Shillong</v>
      </c>
      <c r="BC62" t="s">
        <v>458</v>
      </c>
      <c r="BD62" t="s">
        <v>73</v>
      </c>
      <c r="BE62" t="s">
        <v>81</v>
      </c>
      <c r="BF62" t="s">
        <v>82</v>
      </c>
      <c r="BG62" t="s">
        <v>459</v>
      </c>
      <c r="BH62" t="s">
        <v>73</v>
      </c>
      <c r="BI62" t="s">
        <v>73</v>
      </c>
      <c r="BJ62" t="s">
        <v>73</v>
      </c>
      <c r="BK62" t="s">
        <v>460</v>
      </c>
      <c r="BL62" t="s">
        <v>73</v>
      </c>
      <c r="BM62" s="12">
        <v>77</v>
      </c>
    </row>
    <row r="63" spans="1:65">
      <c r="A63" t="s">
        <v>60</v>
      </c>
      <c r="B63" t="s">
        <v>472</v>
      </c>
      <c r="C63" t="s">
        <v>473</v>
      </c>
      <c r="D63" t="s">
        <v>305</v>
      </c>
      <c r="E63" t="s">
        <v>306</v>
      </c>
      <c r="F63" t="s">
        <v>307</v>
      </c>
      <c r="G63" t="str">
        <f t="shared" si="0"/>
        <v>THANGRORICH</v>
      </c>
      <c r="H63" t="s">
        <v>66</v>
      </c>
      <c r="I63" t="s">
        <v>138</v>
      </c>
      <c r="J63" t="s">
        <v>138</v>
      </c>
      <c r="K63" t="s">
        <v>68</v>
      </c>
      <c r="L63" t="s">
        <v>69</v>
      </c>
      <c r="M63" t="s">
        <v>333</v>
      </c>
      <c r="N63" t="str">
        <f t="shared" si="1"/>
        <v>July</v>
      </c>
      <c r="O63" t="s">
        <v>333</v>
      </c>
      <c r="P63" t="s">
        <v>71</v>
      </c>
      <c r="Q63" t="s">
        <v>72</v>
      </c>
      <c r="R63" t="s">
        <v>73</v>
      </c>
      <c r="S63" t="s">
        <v>309</v>
      </c>
      <c r="T63" t="s">
        <v>75</v>
      </c>
      <c r="U63" t="s">
        <v>75</v>
      </c>
      <c r="V63" t="s">
        <v>75</v>
      </c>
      <c r="W63" t="s">
        <v>309</v>
      </c>
      <c r="X63" t="s">
        <v>75</v>
      </c>
      <c r="Y63" t="s">
        <v>309</v>
      </c>
      <c r="Z63" t="s">
        <v>76</v>
      </c>
      <c r="AA63" t="s">
        <v>603</v>
      </c>
      <c r="AB63" t="s">
        <v>75</v>
      </c>
      <c r="AC63" t="s">
        <v>75</v>
      </c>
      <c r="AD63" t="s">
        <v>75</v>
      </c>
      <c r="AE63" t="s">
        <v>75</v>
      </c>
      <c r="AF63" t="s">
        <v>75</v>
      </c>
      <c r="AG63" t="s">
        <v>75</v>
      </c>
      <c r="AH63" t="s">
        <v>75</v>
      </c>
      <c r="AI63" t="s">
        <v>75</v>
      </c>
      <c r="AJ63" t="s">
        <v>75</v>
      </c>
      <c r="AK63" t="s">
        <v>75</v>
      </c>
      <c r="AL63" t="s">
        <v>75</v>
      </c>
      <c r="AM63" t="s">
        <v>75</v>
      </c>
      <c r="AN63" t="s">
        <v>75</v>
      </c>
      <c r="AO63" t="s">
        <v>75</v>
      </c>
      <c r="AP63" t="s">
        <v>75</v>
      </c>
      <c r="AQ63" t="s">
        <v>75</v>
      </c>
      <c r="AR63" t="s">
        <v>75</v>
      </c>
      <c r="AS63" t="s">
        <v>75</v>
      </c>
      <c r="AT63" t="s">
        <v>75</v>
      </c>
      <c r="AU63" t="s">
        <v>604</v>
      </c>
      <c r="AV63" t="s">
        <v>605</v>
      </c>
      <c r="AW63" t="s">
        <v>603</v>
      </c>
      <c r="AX63" t="s">
        <v>475</v>
      </c>
      <c r="AY63" t="s">
        <v>117</v>
      </c>
      <c r="AZ63" t="s">
        <v>475</v>
      </c>
      <c r="BA63" t="s">
        <v>1408</v>
      </c>
      <c r="BB63" s="13" t="str">
        <f t="shared" si="2"/>
        <v xml:space="preserve"> Mumbai</v>
      </c>
      <c r="BC63" t="s">
        <v>117</v>
      </c>
      <c r="BD63" t="s">
        <v>313</v>
      </c>
      <c r="BE63" t="s">
        <v>81</v>
      </c>
      <c r="BF63" t="s">
        <v>82</v>
      </c>
      <c r="BG63" t="s">
        <v>314</v>
      </c>
      <c r="BH63" t="s">
        <v>73</v>
      </c>
      <c r="BI63" t="s">
        <v>73</v>
      </c>
      <c r="BJ63" t="s">
        <v>73</v>
      </c>
      <c r="BK63" t="s">
        <v>476</v>
      </c>
      <c r="BL63" t="s">
        <v>73</v>
      </c>
      <c r="BM63" s="12">
        <v>84</v>
      </c>
    </row>
    <row r="64" spans="1:65">
      <c r="A64" t="s">
        <v>60</v>
      </c>
      <c r="B64" t="s">
        <v>606</v>
      </c>
      <c r="C64" t="s">
        <v>607</v>
      </c>
      <c r="D64" t="s">
        <v>63</v>
      </c>
      <c r="E64" t="s">
        <v>64</v>
      </c>
      <c r="F64" t="s">
        <v>65</v>
      </c>
      <c r="G64" t="str">
        <f t="shared" si="0"/>
        <v>CANT-ME</v>
      </c>
      <c r="H64" t="s">
        <v>66</v>
      </c>
      <c r="I64" t="s">
        <v>67</v>
      </c>
      <c r="J64" t="s">
        <v>67</v>
      </c>
      <c r="K64" t="s">
        <v>68</v>
      </c>
      <c r="L64" t="s">
        <v>69</v>
      </c>
      <c r="M64" t="s">
        <v>494</v>
      </c>
      <c r="N64" t="str">
        <f t="shared" si="1"/>
        <v>July</v>
      </c>
      <c r="O64" t="s">
        <v>494</v>
      </c>
      <c r="P64" t="s">
        <v>71</v>
      </c>
      <c r="Q64" t="s">
        <v>72</v>
      </c>
      <c r="R64" t="s">
        <v>73</v>
      </c>
      <c r="S64" t="s">
        <v>74</v>
      </c>
      <c r="T64" t="s">
        <v>75</v>
      </c>
      <c r="U64" t="s">
        <v>75</v>
      </c>
      <c r="V64" t="s">
        <v>75</v>
      </c>
      <c r="W64" t="s">
        <v>74</v>
      </c>
      <c r="X64" t="s">
        <v>75</v>
      </c>
      <c r="Y64" t="s">
        <v>74</v>
      </c>
      <c r="Z64" t="s">
        <v>76</v>
      </c>
      <c r="AA64" t="s">
        <v>74</v>
      </c>
      <c r="AB64" t="s">
        <v>75</v>
      </c>
      <c r="AC64" t="s">
        <v>75</v>
      </c>
      <c r="AD64" t="s">
        <v>75</v>
      </c>
      <c r="AE64" t="s">
        <v>75</v>
      </c>
      <c r="AF64" t="s">
        <v>75</v>
      </c>
      <c r="AG64" t="s">
        <v>75</v>
      </c>
      <c r="AH64" t="s">
        <v>75</v>
      </c>
      <c r="AI64" t="s">
        <v>75</v>
      </c>
      <c r="AJ64" t="s">
        <v>75</v>
      </c>
      <c r="AK64" t="s">
        <v>75</v>
      </c>
      <c r="AL64" t="s">
        <v>75</v>
      </c>
      <c r="AM64" t="s">
        <v>75</v>
      </c>
      <c r="AN64" t="s">
        <v>75</v>
      </c>
      <c r="AO64" t="s">
        <v>75</v>
      </c>
      <c r="AP64" t="s">
        <v>75</v>
      </c>
      <c r="AQ64" t="s">
        <v>75</v>
      </c>
      <c r="AR64" t="s">
        <v>75</v>
      </c>
      <c r="AS64" t="s">
        <v>75</v>
      </c>
      <c r="AT64" t="s">
        <v>75</v>
      </c>
      <c r="AU64" t="s">
        <v>608</v>
      </c>
      <c r="AV64" t="s">
        <v>545</v>
      </c>
      <c r="AW64" t="s">
        <v>74</v>
      </c>
      <c r="AX64" t="s">
        <v>609</v>
      </c>
      <c r="AY64" t="s">
        <v>80</v>
      </c>
      <c r="AZ64" t="s">
        <v>609</v>
      </c>
      <c r="BA64" t="s">
        <v>1409</v>
      </c>
      <c r="BB64" s="13" t="str">
        <f t="shared" si="2"/>
        <v xml:space="preserve"> Gadag</v>
      </c>
      <c r="BC64" t="s">
        <v>80</v>
      </c>
      <c r="BD64" t="s">
        <v>73</v>
      </c>
      <c r="BE64" t="s">
        <v>81</v>
      </c>
      <c r="BF64" t="s">
        <v>82</v>
      </c>
      <c r="BG64" t="s">
        <v>83</v>
      </c>
      <c r="BH64" t="s">
        <v>73</v>
      </c>
      <c r="BI64" t="s">
        <v>73</v>
      </c>
      <c r="BJ64" t="s">
        <v>73</v>
      </c>
      <c r="BK64" t="s">
        <v>610</v>
      </c>
      <c r="BL64" t="s">
        <v>73</v>
      </c>
      <c r="BM64" s="12">
        <v>86</v>
      </c>
    </row>
    <row r="65" spans="1:65">
      <c r="A65" t="s">
        <v>60</v>
      </c>
      <c r="B65" t="s">
        <v>611</v>
      </c>
      <c r="C65" t="s">
        <v>612</v>
      </c>
      <c r="D65" t="s">
        <v>290</v>
      </c>
      <c r="E65" t="s">
        <v>291</v>
      </c>
      <c r="F65" t="s">
        <v>292</v>
      </c>
      <c r="G65" t="str">
        <f t="shared" si="0"/>
        <v>THE7HABITS12</v>
      </c>
      <c r="H65" t="s">
        <v>66</v>
      </c>
      <c r="I65" t="s">
        <v>67</v>
      </c>
      <c r="J65" t="s">
        <v>67</v>
      </c>
      <c r="K65" t="s">
        <v>68</v>
      </c>
      <c r="L65" t="s">
        <v>69</v>
      </c>
      <c r="M65" t="s">
        <v>423</v>
      </c>
      <c r="N65" t="str">
        <f t="shared" si="1"/>
        <v>July</v>
      </c>
      <c r="O65" t="s">
        <v>423</v>
      </c>
      <c r="P65" t="s">
        <v>71</v>
      </c>
      <c r="Q65" t="s">
        <v>72</v>
      </c>
      <c r="R65" t="s">
        <v>73</v>
      </c>
      <c r="S65" t="s">
        <v>294</v>
      </c>
      <c r="T65" t="s">
        <v>613</v>
      </c>
      <c r="U65" t="s">
        <v>75</v>
      </c>
      <c r="V65" t="s">
        <v>613</v>
      </c>
      <c r="W65" t="s">
        <v>614</v>
      </c>
      <c r="X65" t="s">
        <v>75</v>
      </c>
      <c r="Y65" t="s">
        <v>614</v>
      </c>
      <c r="Z65" t="s">
        <v>76</v>
      </c>
      <c r="AA65" t="s">
        <v>614</v>
      </c>
      <c r="AB65" t="s">
        <v>75</v>
      </c>
      <c r="AC65" t="s">
        <v>75</v>
      </c>
      <c r="AD65" t="s">
        <v>75</v>
      </c>
      <c r="AE65" t="s">
        <v>75</v>
      </c>
      <c r="AF65" t="s">
        <v>75</v>
      </c>
      <c r="AG65" t="s">
        <v>75</v>
      </c>
      <c r="AH65" t="s">
        <v>75</v>
      </c>
      <c r="AI65" t="s">
        <v>75</v>
      </c>
      <c r="AJ65" t="s">
        <v>75</v>
      </c>
      <c r="AK65" t="s">
        <v>75</v>
      </c>
      <c r="AL65" t="s">
        <v>75</v>
      </c>
      <c r="AM65" t="s">
        <v>75</v>
      </c>
      <c r="AN65" t="s">
        <v>75</v>
      </c>
      <c r="AO65" t="s">
        <v>75</v>
      </c>
      <c r="AP65" t="s">
        <v>75</v>
      </c>
      <c r="AQ65" t="s">
        <v>75</v>
      </c>
      <c r="AR65" t="s">
        <v>75</v>
      </c>
      <c r="AS65" t="s">
        <v>75</v>
      </c>
      <c r="AT65" t="s">
        <v>75</v>
      </c>
      <c r="AU65" t="s">
        <v>615</v>
      </c>
      <c r="AV65" t="s">
        <v>426</v>
      </c>
      <c r="AW65" t="s">
        <v>614</v>
      </c>
      <c r="AX65" t="s">
        <v>616</v>
      </c>
      <c r="AY65" t="s">
        <v>117</v>
      </c>
      <c r="AZ65" t="s">
        <v>616</v>
      </c>
      <c r="BA65" t="s">
        <v>1410</v>
      </c>
      <c r="BB65" s="13" t="str">
        <f t="shared" si="2"/>
        <v xml:space="preserve"> Pune</v>
      </c>
      <c r="BC65" t="s">
        <v>117</v>
      </c>
      <c r="BD65" t="s">
        <v>298</v>
      </c>
      <c r="BE65" t="s">
        <v>81</v>
      </c>
      <c r="BF65" t="s">
        <v>82</v>
      </c>
      <c r="BG65" t="s">
        <v>617</v>
      </c>
      <c r="BH65" t="s">
        <v>73</v>
      </c>
      <c r="BI65" t="s">
        <v>73</v>
      </c>
      <c r="BJ65" t="s">
        <v>73</v>
      </c>
      <c r="BK65" t="s">
        <v>618</v>
      </c>
      <c r="BL65" t="s">
        <v>73</v>
      </c>
      <c r="BM65" s="12">
        <v>74</v>
      </c>
    </row>
    <row r="66" spans="1:65">
      <c r="A66" t="s">
        <v>60</v>
      </c>
      <c r="B66" t="s">
        <v>619</v>
      </c>
      <c r="C66" t="s">
        <v>620</v>
      </c>
      <c r="D66" t="s">
        <v>621</v>
      </c>
      <c r="E66" t="s">
        <v>622</v>
      </c>
      <c r="F66" t="s">
        <v>623</v>
      </c>
      <c r="G66" t="str">
        <f t="shared" si="0"/>
        <v>DOGLAPAN03</v>
      </c>
      <c r="H66" t="s">
        <v>66</v>
      </c>
      <c r="I66" t="s">
        <v>138</v>
      </c>
      <c r="J66" t="s">
        <v>138</v>
      </c>
      <c r="K66" t="s">
        <v>140</v>
      </c>
      <c r="L66" t="s">
        <v>69</v>
      </c>
      <c r="M66" t="s">
        <v>624</v>
      </c>
      <c r="N66" t="str">
        <f t="shared" si="1"/>
        <v>July</v>
      </c>
      <c r="O66" t="s">
        <v>624</v>
      </c>
      <c r="P66" t="s">
        <v>71</v>
      </c>
      <c r="Q66" t="s">
        <v>72</v>
      </c>
      <c r="R66" t="s">
        <v>73</v>
      </c>
      <c r="S66" t="s">
        <v>614</v>
      </c>
      <c r="T66" t="s">
        <v>75</v>
      </c>
      <c r="U66" t="s">
        <v>75</v>
      </c>
      <c r="V66" t="s">
        <v>75</v>
      </c>
      <c r="W66" t="s">
        <v>614</v>
      </c>
      <c r="X66" t="s">
        <v>75</v>
      </c>
      <c r="Y66" t="s">
        <v>614</v>
      </c>
      <c r="Z66" t="s">
        <v>76</v>
      </c>
      <c r="AA66" t="s">
        <v>625</v>
      </c>
      <c r="AB66" t="s">
        <v>75</v>
      </c>
      <c r="AC66" t="s">
        <v>75</v>
      </c>
      <c r="AD66" t="s">
        <v>75</v>
      </c>
      <c r="AE66" t="s">
        <v>75</v>
      </c>
      <c r="AF66" t="s">
        <v>75</v>
      </c>
      <c r="AG66" t="s">
        <v>75</v>
      </c>
      <c r="AH66" t="s">
        <v>75</v>
      </c>
      <c r="AI66" t="s">
        <v>75</v>
      </c>
      <c r="AJ66" t="s">
        <v>75</v>
      </c>
      <c r="AK66" t="s">
        <v>75</v>
      </c>
      <c r="AL66" t="s">
        <v>75</v>
      </c>
      <c r="AM66" t="s">
        <v>75</v>
      </c>
      <c r="AN66" t="s">
        <v>75</v>
      </c>
      <c r="AO66" t="s">
        <v>75</v>
      </c>
      <c r="AP66" t="s">
        <v>75</v>
      </c>
      <c r="AQ66" t="s">
        <v>75</v>
      </c>
      <c r="AR66" t="s">
        <v>75</v>
      </c>
      <c r="AS66" t="s">
        <v>75</v>
      </c>
      <c r="AT66" t="s">
        <v>75</v>
      </c>
      <c r="AU66" t="s">
        <v>626</v>
      </c>
      <c r="AV66" t="s">
        <v>605</v>
      </c>
      <c r="AW66" t="s">
        <v>625</v>
      </c>
      <c r="AX66" t="s">
        <v>627</v>
      </c>
      <c r="AY66" t="s">
        <v>224</v>
      </c>
      <c r="AZ66" t="s">
        <v>627</v>
      </c>
      <c r="BA66" t="s">
        <v>1411</v>
      </c>
      <c r="BB66" s="13" t="str">
        <f t="shared" si="2"/>
        <v xml:space="preserve"> Howrah</v>
      </c>
      <c r="BC66" t="s">
        <v>224</v>
      </c>
      <c r="BD66" t="s">
        <v>628</v>
      </c>
      <c r="BE66" t="s">
        <v>81</v>
      </c>
      <c r="BF66" t="s">
        <v>82</v>
      </c>
      <c r="BG66" t="s">
        <v>617</v>
      </c>
      <c r="BH66" t="s">
        <v>73</v>
      </c>
      <c r="BI66" t="s">
        <v>73</v>
      </c>
      <c r="BJ66" t="s">
        <v>73</v>
      </c>
      <c r="BK66" t="s">
        <v>629</v>
      </c>
      <c r="BL66" t="s">
        <v>73</v>
      </c>
      <c r="BM66" s="12">
        <v>78</v>
      </c>
    </row>
    <row r="67" spans="1:65">
      <c r="A67" t="s">
        <v>60</v>
      </c>
      <c r="B67" t="s">
        <v>619</v>
      </c>
      <c r="C67" t="s">
        <v>620</v>
      </c>
      <c r="D67" t="s">
        <v>621</v>
      </c>
      <c r="E67" t="s">
        <v>622</v>
      </c>
      <c r="F67" t="s">
        <v>623</v>
      </c>
      <c r="G67" t="str">
        <f t="shared" ref="G67:G130" si="3">MID(F67,8,LEN(F67)-10)</f>
        <v>DOGLAPAN03</v>
      </c>
      <c r="H67" t="s">
        <v>66</v>
      </c>
      <c r="I67" t="s">
        <v>67</v>
      </c>
      <c r="J67" t="s">
        <v>67</v>
      </c>
      <c r="K67" t="s">
        <v>140</v>
      </c>
      <c r="L67" t="s">
        <v>69</v>
      </c>
      <c r="M67" t="s">
        <v>624</v>
      </c>
      <c r="N67" t="str">
        <f t="shared" ref="N67:N130" si="4">TEXT(M67,"mmmm")</f>
        <v>July</v>
      </c>
      <c r="O67" t="s">
        <v>624</v>
      </c>
      <c r="P67" t="s">
        <v>71</v>
      </c>
      <c r="Q67" t="s">
        <v>72</v>
      </c>
      <c r="R67" t="s">
        <v>73</v>
      </c>
      <c r="S67" t="s">
        <v>614</v>
      </c>
      <c r="T67" t="s">
        <v>75</v>
      </c>
      <c r="U67" t="s">
        <v>75</v>
      </c>
      <c r="V67" t="s">
        <v>75</v>
      </c>
      <c r="W67" t="s">
        <v>614</v>
      </c>
      <c r="X67" t="s">
        <v>75</v>
      </c>
      <c r="Y67" t="s">
        <v>614</v>
      </c>
      <c r="Z67" t="s">
        <v>76</v>
      </c>
      <c r="AA67" t="s">
        <v>614</v>
      </c>
      <c r="AB67" t="s">
        <v>75</v>
      </c>
      <c r="AC67" t="s">
        <v>75</v>
      </c>
      <c r="AD67" t="s">
        <v>75</v>
      </c>
      <c r="AE67" t="s">
        <v>75</v>
      </c>
      <c r="AF67" t="s">
        <v>75</v>
      </c>
      <c r="AG67" t="s">
        <v>75</v>
      </c>
      <c r="AH67" t="s">
        <v>75</v>
      </c>
      <c r="AI67" t="s">
        <v>75</v>
      </c>
      <c r="AJ67" t="s">
        <v>75</v>
      </c>
      <c r="AK67" t="s">
        <v>75</v>
      </c>
      <c r="AL67" t="s">
        <v>75</v>
      </c>
      <c r="AM67" t="s">
        <v>75</v>
      </c>
      <c r="AN67" t="s">
        <v>75</v>
      </c>
      <c r="AO67" t="s">
        <v>75</v>
      </c>
      <c r="AP67" t="s">
        <v>75</v>
      </c>
      <c r="AQ67" t="s">
        <v>75</v>
      </c>
      <c r="AR67" t="s">
        <v>75</v>
      </c>
      <c r="AS67" t="s">
        <v>75</v>
      </c>
      <c r="AT67" t="s">
        <v>75</v>
      </c>
      <c r="AU67" t="s">
        <v>630</v>
      </c>
      <c r="AV67" t="s">
        <v>605</v>
      </c>
      <c r="AW67" t="s">
        <v>614</v>
      </c>
      <c r="AX67" t="s">
        <v>627</v>
      </c>
      <c r="AY67" t="s">
        <v>224</v>
      </c>
      <c r="AZ67" t="s">
        <v>627</v>
      </c>
      <c r="BA67" t="s">
        <v>1347</v>
      </c>
      <c r="BB67" s="13" t="str">
        <f t="shared" ref="BB67:BB130" si="5">MID(BA67,9,LEN(BA67))</f>
        <v xml:space="preserve"> Howrah</v>
      </c>
      <c r="BC67" t="s">
        <v>224</v>
      </c>
      <c r="BD67" t="s">
        <v>628</v>
      </c>
      <c r="BE67" t="s">
        <v>81</v>
      </c>
      <c r="BF67" t="s">
        <v>82</v>
      </c>
      <c r="BG67" t="s">
        <v>617</v>
      </c>
      <c r="BH67" t="s">
        <v>73</v>
      </c>
      <c r="BI67" t="s">
        <v>73</v>
      </c>
      <c r="BJ67" t="s">
        <v>73</v>
      </c>
      <c r="BK67" t="s">
        <v>629</v>
      </c>
      <c r="BL67" t="s">
        <v>73</v>
      </c>
      <c r="BM67" s="12">
        <v>85</v>
      </c>
    </row>
    <row r="68" spans="1:65">
      <c r="A68" t="s">
        <v>60</v>
      </c>
      <c r="B68" t="s">
        <v>523</v>
      </c>
      <c r="C68" t="s">
        <v>524</v>
      </c>
      <c r="D68" t="s">
        <v>525</v>
      </c>
      <c r="E68" t="s">
        <v>526</v>
      </c>
      <c r="F68" t="s">
        <v>527</v>
      </c>
      <c r="G68" t="str">
        <f t="shared" si="3"/>
        <v>WHO-WILL-CRY01</v>
      </c>
      <c r="H68" t="s">
        <v>66</v>
      </c>
      <c r="I68" t="s">
        <v>67</v>
      </c>
      <c r="J68" t="s">
        <v>67</v>
      </c>
      <c r="K68" t="s">
        <v>140</v>
      </c>
      <c r="L68" t="s">
        <v>69</v>
      </c>
      <c r="M68" t="s">
        <v>528</v>
      </c>
      <c r="N68" t="str">
        <f t="shared" si="4"/>
        <v>July</v>
      </c>
      <c r="O68" t="s">
        <v>528</v>
      </c>
      <c r="P68" t="s">
        <v>71</v>
      </c>
      <c r="Q68" t="s">
        <v>72</v>
      </c>
      <c r="R68" t="s">
        <v>73</v>
      </c>
      <c r="S68" t="s">
        <v>281</v>
      </c>
      <c r="T68" t="s">
        <v>231</v>
      </c>
      <c r="U68" t="s">
        <v>75</v>
      </c>
      <c r="V68" t="s">
        <v>231</v>
      </c>
      <c r="W68" t="s">
        <v>282</v>
      </c>
      <c r="X68" t="s">
        <v>75</v>
      </c>
      <c r="Y68" t="s">
        <v>282</v>
      </c>
      <c r="Z68" t="s">
        <v>76</v>
      </c>
      <c r="AA68" t="s">
        <v>282</v>
      </c>
      <c r="AB68" t="s">
        <v>75</v>
      </c>
      <c r="AC68" t="s">
        <v>75</v>
      </c>
      <c r="AD68" t="s">
        <v>75</v>
      </c>
      <c r="AE68" t="s">
        <v>75</v>
      </c>
      <c r="AF68" t="s">
        <v>75</v>
      </c>
      <c r="AG68" t="s">
        <v>75</v>
      </c>
      <c r="AH68" t="s">
        <v>75</v>
      </c>
      <c r="AI68" t="s">
        <v>75</v>
      </c>
      <c r="AJ68" t="s">
        <v>75</v>
      </c>
      <c r="AK68" t="s">
        <v>75</v>
      </c>
      <c r="AL68" t="s">
        <v>75</v>
      </c>
      <c r="AM68" t="s">
        <v>75</v>
      </c>
      <c r="AN68" t="s">
        <v>75</v>
      </c>
      <c r="AO68" t="s">
        <v>75</v>
      </c>
      <c r="AP68" t="s">
        <v>75</v>
      </c>
      <c r="AQ68" t="s">
        <v>75</v>
      </c>
      <c r="AR68" t="s">
        <v>75</v>
      </c>
      <c r="AS68" t="s">
        <v>75</v>
      </c>
      <c r="AT68" t="s">
        <v>75</v>
      </c>
      <c r="AU68" t="s">
        <v>631</v>
      </c>
      <c r="AV68" t="s">
        <v>158</v>
      </c>
      <c r="AW68" t="s">
        <v>282</v>
      </c>
      <c r="AX68" t="s">
        <v>531</v>
      </c>
      <c r="AY68" t="s">
        <v>532</v>
      </c>
      <c r="AZ68" t="s">
        <v>531</v>
      </c>
      <c r="BA68" t="s">
        <v>1338</v>
      </c>
      <c r="BB68" s="13" t="str">
        <f t="shared" si="5"/>
        <v xml:space="preserve"> Tura</v>
      </c>
      <c r="BC68" t="s">
        <v>532</v>
      </c>
      <c r="BD68" t="s">
        <v>533</v>
      </c>
      <c r="BE68" t="s">
        <v>81</v>
      </c>
      <c r="BF68" t="s">
        <v>82</v>
      </c>
      <c r="BG68" t="s">
        <v>286</v>
      </c>
      <c r="BH68" t="s">
        <v>73</v>
      </c>
      <c r="BI68" t="s">
        <v>73</v>
      </c>
      <c r="BJ68" t="s">
        <v>73</v>
      </c>
      <c r="BK68" t="s">
        <v>534</v>
      </c>
      <c r="BL68" t="s">
        <v>73</v>
      </c>
      <c r="BM68" s="12">
        <v>72</v>
      </c>
    </row>
    <row r="69" spans="1:65">
      <c r="A69" t="s">
        <v>60</v>
      </c>
      <c r="B69" t="s">
        <v>632</v>
      </c>
      <c r="C69" t="s">
        <v>633</v>
      </c>
      <c r="D69" t="s">
        <v>634</v>
      </c>
      <c r="E69" t="s">
        <v>635</v>
      </c>
      <c r="F69" t="s">
        <v>636</v>
      </c>
      <c r="G69" t="str">
        <f t="shared" si="3"/>
        <v>GOTOGRE_02</v>
      </c>
      <c r="H69" t="s">
        <v>66</v>
      </c>
      <c r="I69" t="s">
        <v>67</v>
      </c>
      <c r="J69" t="s">
        <v>67</v>
      </c>
      <c r="K69" t="s">
        <v>68</v>
      </c>
      <c r="L69" t="s">
        <v>69</v>
      </c>
      <c r="M69" t="s">
        <v>494</v>
      </c>
      <c r="N69" t="str">
        <f t="shared" si="4"/>
        <v>July</v>
      </c>
      <c r="O69" t="s">
        <v>494</v>
      </c>
      <c r="P69" t="s">
        <v>71</v>
      </c>
      <c r="Q69" t="s">
        <v>72</v>
      </c>
      <c r="R69" t="s">
        <v>73</v>
      </c>
      <c r="S69" t="s">
        <v>637</v>
      </c>
      <c r="T69" t="s">
        <v>75</v>
      </c>
      <c r="U69" t="s">
        <v>75</v>
      </c>
      <c r="V69" t="s">
        <v>75</v>
      </c>
      <c r="W69" t="s">
        <v>637</v>
      </c>
      <c r="X69" t="s">
        <v>75</v>
      </c>
      <c r="Y69" t="s">
        <v>637</v>
      </c>
      <c r="Z69" t="s">
        <v>76</v>
      </c>
      <c r="AA69" t="s">
        <v>637</v>
      </c>
      <c r="AB69" t="s">
        <v>75</v>
      </c>
      <c r="AC69" t="s">
        <v>75</v>
      </c>
      <c r="AD69" t="s">
        <v>75</v>
      </c>
      <c r="AE69" t="s">
        <v>75</v>
      </c>
      <c r="AF69" t="s">
        <v>75</v>
      </c>
      <c r="AG69" t="s">
        <v>75</v>
      </c>
      <c r="AH69" t="s">
        <v>75</v>
      </c>
      <c r="AI69" t="s">
        <v>75</v>
      </c>
      <c r="AJ69" t="s">
        <v>75</v>
      </c>
      <c r="AK69" t="s">
        <v>75</v>
      </c>
      <c r="AL69" t="s">
        <v>75</v>
      </c>
      <c r="AM69" t="s">
        <v>75</v>
      </c>
      <c r="AN69" t="s">
        <v>75</v>
      </c>
      <c r="AO69" t="s">
        <v>75</v>
      </c>
      <c r="AP69" t="s">
        <v>75</v>
      </c>
      <c r="AQ69" t="s">
        <v>75</v>
      </c>
      <c r="AR69" t="s">
        <v>75</v>
      </c>
      <c r="AS69" t="s">
        <v>75</v>
      </c>
      <c r="AT69" t="s">
        <v>75</v>
      </c>
      <c r="AU69" t="s">
        <v>638</v>
      </c>
      <c r="AV69" t="s">
        <v>545</v>
      </c>
      <c r="AW69" t="s">
        <v>637</v>
      </c>
      <c r="AX69" t="s">
        <v>639</v>
      </c>
      <c r="AY69" t="s">
        <v>117</v>
      </c>
      <c r="AZ69" t="s">
        <v>639</v>
      </c>
      <c r="BA69" t="s">
        <v>1348</v>
      </c>
      <c r="BB69" s="13" t="str">
        <f t="shared" si="5"/>
        <v xml:space="preserve"> Nagpur</v>
      </c>
      <c r="BC69" t="s">
        <v>117</v>
      </c>
      <c r="BD69" t="s">
        <v>640</v>
      </c>
      <c r="BE69" t="s">
        <v>81</v>
      </c>
      <c r="BF69" t="s">
        <v>82</v>
      </c>
      <c r="BG69" t="s">
        <v>641</v>
      </c>
      <c r="BH69" t="s">
        <v>73</v>
      </c>
      <c r="BI69" t="s">
        <v>73</v>
      </c>
      <c r="BJ69" t="s">
        <v>73</v>
      </c>
      <c r="BK69" t="s">
        <v>642</v>
      </c>
      <c r="BL69" t="s">
        <v>73</v>
      </c>
      <c r="BM69" s="12">
        <v>90</v>
      </c>
    </row>
    <row r="70" spans="1:65">
      <c r="A70" t="s">
        <v>60</v>
      </c>
      <c r="B70" t="s">
        <v>643</v>
      </c>
      <c r="C70" t="s">
        <v>644</v>
      </c>
      <c r="D70" t="s">
        <v>634</v>
      </c>
      <c r="E70" t="s">
        <v>635</v>
      </c>
      <c r="F70" t="s">
        <v>636</v>
      </c>
      <c r="G70" t="str">
        <f t="shared" si="3"/>
        <v>GOTOGRE_02</v>
      </c>
      <c r="H70" t="s">
        <v>66</v>
      </c>
      <c r="I70" t="s">
        <v>67</v>
      </c>
      <c r="J70" t="s">
        <v>67</v>
      </c>
      <c r="K70" t="s">
        <v>140</v>
      </c>
      <c r="L70" t="s">
        <v>69</v>
      </c>
      <c r="M70" t="s">
        <v>485</v>
      </c>
      <c r="N70" t="str">
        <f t="shared" si="4"/>
        <v>July</v>
      </c>
      <c r="O70" t="s">
        <v>485</v>
      </c>
      <c r="P70" t="s">
        <v>71</v>
      </c>
      <c r="Q70" t="s">
        <v>72</v>
      </c>
      <c r="R70" t="s">
        <v>73</v>
      </c>
      <c r="S70" t="s">
        <v>637</v>
      </c>
      <c r="T70" t="s">
        <v>75</v>
      </c>
      <c r="U70" t="s">
        <v>75</v>
      </c>
      <c r="V70" t="s">
        <v>75</v>
      </c>
      <c r="W70" t="s">
        <v>637</v>
      </c>
      <c r="X70" t="s">
        <v>75</v>
      </c>
      <c r="Y70" t="s">
        <v>637</v>
      </c>
      <c r="Z70" t="s">
        <v>76</v>
      </c>
      <c r="AA70" t="s">
        <v>637</v>
      </c>
      <c r="AB70" t="s">
        <v>75</v>
      </c>
      <c r="AC70" t="s">
        <v>75</v>
      </c>
      <c r="AD70" t="s">
        <v>75</v>
      </c>
      <c r="AE70" t="s">
        <v>75</v>
      </c>
      <c r="AF70" t="s">
        <v>75</v>
      </c>
      <c r="AG70" t="s">
        <v>75</v>
      </c>
      <c r="AH70" t="s">
        <v>75</v>
      </c>
      <c r="AI70" t="s">
        <v>75</v>
      </c>
      <c r="AJ70" t="s">
        <v>75</v>
      </c>
      <c r="AK70" t="s">
        <v>75</v>
      </c>
      <c r="AL70" t="s">
        <v>75</v>
      </c>
      <c r="AM70" t="s">
        <v>75</v>
      </c>
      <c r="AN70" t="s">
        <v>75</v>
      </c>
      <c r="AO70" t="s">
        <v>75</v>
      </c>
      <c r="AP70" t="s">
        <v>75</v>
      </c>
      <c r="AQ70" t="s">
        <v>75</v>
      </c>
      <c r="AR70" t="s">
        <v>75</v>
      </c>
      <c r="AS70" t="s">
        <v>75</v>
      </c>
      <c r="AT70" t="s">
        <v>75</v>
      </c>
      <c r="AU70" t="s">
        <v>645</v>
      </c>
      <c r="AV70" t="s">
        <v>426</v>
      </c>
      <c r="AW70" t="s">
        <v>637</v>
      </c>
      <c r="AX70" t="s">
        <v>646</v>
      </c>
      <c r="AY70" t="s">
        <v>355</v>
      </c>
      <c r="AZ70" t="s">
        <v>646</v>
      </c>
      <c r="BA70" t="s">
        <v>1349</v>
      </c>
      <c r="BB70" s="13" t="str">
        <f t="shared" si="5"/>
        <v xml:space="preserve"> Vijayawada</v>
      </c>
      <c r="BC70" t="s">
        <v>355</v>
      </c>
      <c r="BD70" t="s">
        <v>640</v>
      </c>
      <c r="BE70" t="s">
        <v>81</v>
      </c>
      <c r="BF70" t="s">
        <v>82</v>
      </c>
      <c r="BG70" t="s">
        <v>641</v>
      </c>
      <c r="BH70" t="s">
        <v>73</v>
      </c>
      <c r="BI70" t="s">
        <v>73</v>
      </c>
      <c r="BJ70" t="s">
        <v>73</v>
      </c>
      <c r="BK70" t="s">
        <v>238</v>
      </c>
      <c r="BL70" t="s">
        <v>73</v>
      </c>
      <c r="BM70" s="12">
        <v>76</v>
      </c>
    </row>
    <row r="71" spans="1:65">
      <c r="A71" s="2" t="s">
        <v>60</v>
      </c>
      <c r="B71" s="2" t="s">
        <v>647</v>
      </c>
      <c r="C71" s="2" t="s">
        <v>648</v>
      </c>
      <c r="D71" s="2" t="s">
        <v>649</v>
      </c>
      <c r="E71" s="2" t="s">
        <v>650</v>
      </c>
      <c r="F71" s="2" t="s">
        <v>651</v>
      </c>
      <c r="G71" t="str">
        <f t="shared" si="3"/>
        <v>DOGLAPAN02</v>
      </c>
      <c r="H71" s="2" t="s">
        <v>66</v>
      </c>
      <c r="I71" s="2" t="s">
        <v>67</v>
      </c>
      <c r="J71" s="2" t="s">
        <v>67</v>
      </c>
      <c r="K71" s="2" t="s">
        <v>68</v>
      </c>
      <c r="L71" s="2" t="s">
        <v>69</v>
      </c>
      <c r="M71" s="2" t="s">
        <v>652</v>
      </c>
      <c r="N71" t="str">
        <f t="shared" si="4"/>
        <v>August</v>
      </c>
      <c r="O71" s="2" t="s">
        <v>652</v>
      </c>
      <c r="P71" s="2" t="s">
        <v>71</v>
      </c>
      <c r="Q71" s="2" t="s">
        <v>72</v>
      </c>
      <c r="R71" s="2" t="s">
        <v>73</v>
      </c>
      <c r="S71" s="2" t="s">
        <v>653</v>
      </c>
      <c r="T71" s="2" t="s">
        <v>654</v>
      </c>
      <c r="U71" s="2" t="s">
        <v>75</v>
      </c>
      <c r="V71" s="2" t="s">
        <v>654</v>
      </c>
      <c r="W71" s="2" t="s">
        <v>655</v>
      </c>
      <c r="X71" s="2" t="s">
        <v>75</v>
      </c>
      <c r="Y71" s="2" t="s">
        <v>655</v>
      </c>
      <c r="Z71" s="2" t="s">
        <v>76</v>
      </c>
      <c r="AA71" s="2" t="s">
        <v>655</v>
      </c>
      <c r="AB71" s="2" t="s">
        <v>75</v>
      </c>
      <c r="AC71" s="2" t="s">
        <v>75</v>
      </c>
      <c r="AD71" s="2" t="s">
        <v>75</v>
      </c>
      <c r="AE71" s="2" t="s">
        <v>75</v>
      </c>
      <c r="AF71" s="2" t="s">
        <v>75</v>
      </c>
      <c r="AG71" s="2" t="s">
        <v>75</v>
      </c>
      <c r="AH71" s="2" t="s">
        <v>75</v>
      </c>
      <c r="AI71" s="2" t="s">
        <v>75</v>
      </c>
      <c r="AJ71" s="2" t="s">
        <v>75</v>
      </c>
      <c r="AK71" s="2" t="s">
        <v>75</v>
      </c>
      <c r="AL71" s="2" t="s">
        <v>75</v>
      </c>
      <c r="AM71" s="2" t="s">
        <v>75</v>
      </c>
      <c r="AN71" s="2" t="s">
        <v>75</v>
      </c>
      <c r="AO71" s="2" t="s">
        <v>75</v>
      </c>
      <c r="AP71" s="2" t="s">
        <v>75</v>
      </c>
      <c r="AQ71" s="2" t="s">
        <v>75</v>
      </c>
      <c r="AR71" s="2" t="s">
        <v>75</v>
      </c>
      <c r="AS71" s="2" t="s">
        <v>75</v>
      </c>
      <c r="AT71" s="2" t="s">
        <v>75</v>
      </c>
      <c r="AU71" s="2" t="s">
        <v>656</v>
      </c>
      <c r="AV71" s="2" t="s">
        <v>657</v>
      </c>
      <c r="AW71" s="2" t="s">
        <v>655</v>
      </c>
      <c r="AX71" s="2" t="s">
        <v>658</v>
      </c>
      <c r="AY71" s="2" t="s">
        <v>117</v>
      </c>
      <c r="AZ71" s="2" t="s">
        <v>658</v>
      </c>
      <c r="BA71" t="s">
        <v>1350</v>
      </c>
      <c r="BB71" s="13" t="str">
        <f t="shared" si="5"/>
        <v xml:space="preserve"> Mumbai</v>
      </c>
      <c r="BC71" s="2" t="s">
        <v>117</v>
      </c>
      <c r="BD71" s="2" t="s">
        <v>659</v>
      </c>
      <c r="BE71" s="2" t="s">
        <v>81</v>
      </c>
      <c r="BF71" s="2" t="s">
        <v>82</v>
      </c>
      <c r="BG71" s="2" t="s">
        <v>660</v>
      </c>
      <c r="BH71" s="2" t="s">
        <v>73</v>
      </c>
      <c r="BI71" s="2" t="s">
        <v>73</v>
      </c>
      <c r="BJ71" s="2" t="s">
        <v>73</v>
      </c>
      <c r="BK71" s="2" t="s">
        <v>661</v>
      </c>
      <c r="BL71" s="2" t="s">
        <v>73</v>
      </c>
      <c r="BM71" s="12">
        <v>81</v>
      </c>
    </row>
    <row r="72" spans="1:65">
      <c r="A72" s="2" t="s">
        <v>60</v>
      </c>
      <c r="B72" s="2" t="s">
        <v>662</v>
      </c>
      <c r="C72" s="2" t="s">
        <v>663</v>
      </c>
      <c r="D72" s="2" t="s">
        <v>87</v>
      </c>
      <c r="E72" s="2" t="s">
        <v>88</v>
      </c>
      <c r="F72" s="2" t="s">
        <v>89</v>
      </c>
      <c r="G72" t="str">
        <f t="shared" si="3"/>
        <v>ALCHEMIST01</v>
      </c>
      <c r="H72" s="2" t="s">
        <v>66</v>
      </c>
      <c r="I72" s="2" t="s">
        <v>67</v>
      </c>
      <c r="J72" s="2" t="s">
        <v>67</v>
      </c>
      <c r="K72" s="2" t="s">
        <v>140</v>
      </c>
      <c r="L72" s="2" t="s">
        <v>69</v>
      </c>
      <c r="M72" s="2" t="s">
        <v>664</v>
      </c>
      <c r="N72" t="str">
        <f t="shared" si="4"/>
        <v>August</v>
      </c>
      <c r="O72" s="2" t="s">
        <v>664</v>
      </c>
      <c r="P72" s="2" t="s">
        <v>71</v>
      </c>
      <c r="Q72" s="2" t="s">
        <v>72</v>
      </c>
      <c r="R72" s="2" t="s">
        <v>73</v>
      </c>
      <c r="S72" s="2" t="s">
        <v>340</v>
      </c>
      <c r="T72" s="2" t="s">
        <v>496</v>
      </c>
      <c r="U72" s="2" t="s">
        <v>75</v>
      </c>
      <c r="V72" s="2" t="s">
        <v>496</v>
      </c>
      <c r="W72" s="2" t="s">
        <v>665</v>
      </c>
      <c r="X72" s="2" t="s">
        <v>75</v>
      </c>
      <c r="Y72" s="2" t="s">
        <v>665</v>
      </c>
      <c r="Z72" s="2" t="s">
        <v>76</v>
      </c>
      <c r="AA72" s="2" t="s">
        <v>665</v>
      </c>
      <c r="AB72" s="2" t="s">
        <v>75</v>
      </c>
      <c r="AC72" s="2" t="s">
        <v>75</v>
      </c>
      <c r="AD72" s="2" t="s">
        <v>75</v>
      </c>
      <c r="AE72" s="2" t="s">
        <v>75</v>
      </c>
      <c r="AF72" s="2" t="s">
        <v>75</v>
      </c>
      <c r="AG72" s="2" t="s">
        <v>75</v>
      </c>
      <c r="AH72" s="2" t="s">
        <v>75</v>
      </c>
      <c r="AI72" s="2" t="s">
        <v>75</v>
      </c>
      <c r="AJ72" s="2" t="s">
        <v>75</v>
      </c>
      <c r="AK72" s="2" t="s">
        <v>75</v>
      </c>
      <c r="AL72" s="2" t="s">
        <v>75</v>
      </c>
      <c r="AM72" s="2" t="s">
        <v>75</v>
      </c>
      <c r="AN72" s="2" t="s">
        <v>75</v>
      </c>
      <c r="AO72" s="2" t="s">
        <v>75</v>
      </c>
      <c r="AP72" s="2" t="s">
        <v>75</v>
      </c>
      <c r="AQ72" s="2" t="s">
        <v>75</v>
      </c>
      <c r="AR72" s="2" t="s">
        <v>75</v>
      </c>
      <c r="AS72" s="2" t="s">
        <v>75</v>
      </c>
      <c r="AT72" s="2" t="s">
        <v>75</v>
      </c>
      <c r="AU72" s="2" t="s">
        <v>666</v>
      </c>
      <c r="AV72" s="2" t="s">
        <v>657</v>
      </c>
      <c r="AW72" s="2" t="s">
        <v>665</v>
      </c>
      <c r="AX72" s="2" t="s">
        <v>667</v>
      </c>
      <c r="AY72" s="2" t="s">
        <v>117</v>
      </c>
      <c r="AZ72" s="2" t="s">
        <v>667</v>
      </c>
      <c r="BA72" t="s">
        <v>1351</v>
      </c>
      <c r="BB72" s="13" t="str">
        <f t="shared" si="5"/>
        <v xml:space="preserve"> Jalgaon</v>
      </c>
      <c r="BC72" s="2" t="s">
        <v>117</v>
      </c>
      <c r="BD72" s="2" t="s">
        <v>186</v>
      </c>
      <c r="BE72" s="2" t="s">
        <v>81</v>
      </c>
      <c r="BF72" s="2" t="s">
        <v>82</v>
      </c>
      <c r="BG72" s="2" t="s">
        <v>668</v>
      </c>
      <c r="BH72" s="2" t="s">
        <v>73</v>
      </c>
      <c r="BI72" s="2" t="s">
        <v>73</v>
      </c>
      <c r="BJ72" s="2" t="s">
        <v>73</v>
      </c>
      <c r="BK72" s="2" t="s">
        <v>669</v>
      </c>
      <c r="BL72" s="2" t="s">
        <v>73</v>
      </c>
      <c r="BM72" s="12">
        <v>79</v>
      </c>
    </row>
    <row r="73" spans="1:65">
      <c r="A73" s="2" t="s">
        <v>60</v>
      </c>
      <c r="B73" s="2" t="s">
        <v>670</v>
      </c>
      <c r="C73" s="2" t="s">
        <v>671</v>
      </c>
      <c r="D73" s="2" t="s">
        <v>437</v>
      </c>
      <c r="E73" s="2" t="s">
        <v>438</v>
      </c>
      <c r="F73" s="2" t="s">
        <v>439</v>
      </c>
      <c r="G73" t="str">
        <f t="shared" si="3"/>
        <v>RICH-DAD-HINDI03</v>
      </c>
      <c r="H73" s="2" t="s">
        <v>66</v>
      </c>
      <c r="I73" s="2" t="s">
        <v>138</v>
      </c>
      <c r="J73" s="2" t="s">
        <v>138</v>
      </c>
      <c r="K73" s="2" t="s">
        <v>140</v>
      </c>
      <c r="L73" s="2" t="s">
        <v>69</v>
      </c>
      <c r="M73" s="2" t="s">
        <v>672</v>
      </c>
      <c r="N73" t="str">
        <f t="shared" si="4"/>
        <v>August</v>
      </c>
      <c r="O73" s="2" t="s">
        <v>672</v>
      </c>
      <c r="P73" s="2" t="s">
        <v>71</v>
      </c>
      <c r="Q73" s="2" t="s">
        <v>72</v>
      </c>
      <c r="R73" s="2" t="s">
        <v>73</v>
      </c>
      <c r="S73" s="2" t="s">
        <v>673</v>
      </c>
      <c r="T73" s="2" t="s">
        <v>674</v>
      </c>
      <c r="U73" s="2" t="s">
        <v>75</v>
      </c>
      <c r="V73" s="2" t="s">
        <v>674</v>
      </c>
      <c r="W73" s="2" t="s">
        <v>383</v>
      </c>
      <c r="X73" s="2" t="s">
        <v>75</v>
      </c>
      <c r="Y73" s="2" t="s">
        <v>383</v>
      </c>
      <c r="Z73" s="2" t="s">
        <v>76</v>
      </c>
      <c r="AA73" s="2" t="s">
        <v>675</v>
      </c>
      <c r="AB73" s="2" t="s">
        <v>75</v>
      </c>
      <c r="AC73" s="2" t="s">
        <v>75</v>
      </c>
      <c r="AD73" s="2" t="s">
        <v>75</v>
      </c>
      <c r="AE73" s="2" t="s">
        <v>75</v>
      </c>
      <c r="AF73" s="2" t="s">
        <v>75</v>
      </c>
      <c r="AG73" s="2" t="s">
        <v>75</v>
      </c>
      <c r="AH73" s="2" t="s">
        <v>75</v>
      </c>
      <c r="AI73" s="2" t="s">
        <v>75</v>
      </c>
      <c r="AJ73" s="2" t="s">
        <v>75</v>
      </c>
      <c r="AK73" s="2" t="s">
        <v>75</v>
      </c>
      <c r="AL73" s="2" t="s">
        <v>75</v>
      </c>
      <c r="AM73" s="2" t="s">
        <v>75</v>
      </c>
      <c r="AN73" s="2" t="s">
        <v>75</v>
      </c>
      <c r="AO73" s="2" t="s">
        <v>75</v>
      </c>
      <c r="AP73" s="2" t="s">
        <v>75</v>
      </c>
      <c r="AQ73" s="2" t="s">
        <v>75</v>
      </c>
      <c r="AR73" s="2" t="s">
        <v>75</v>
      </c>
      <c r="AS73" s="2" t="s">
        <v>75</v>
      </c>
      <c r="AT73" s="2" t="s">
        <v>75</v>
      </c>
      <c r="AU73" s="2" t="s">
        <v>676</v>
      </c>
      <c r="AV73" s="2" t="s">
        <v>657</v>
      </c>
      <c r="AW73" s="2" t="s">
        <v>675</v>
      </c>
      <c r="AX73" s="2" t="s">
        <v>677</v>
      </c>
      <c r="AY73" s="2" t="s">
        <v>563</v>
      </c>
      <c r="AZ73" s="2" t="s">
        <v>677</v>
      </c>
      <c r="BA73" s="11" t="s">
        <v>1428</v>
      </c>
      <c r="BB73" s="13" t="str">
        <f t="shared" si="5"/>
        <v xml:space="preserve"> Bihar Sharif</v>
      </c>
      <c r="BC73" s="2" t="s">
        <v>563</v>
      </c>
      <c r="BD73" s="2" t="s">
        <v>653</v>
      </c>
      <c r="BE73" s="2" t="s">
        <v>81</v>
      </c>
      <c r="BF73" s="2" t="s">
        <v>82</v>
      </c>
      <c r="BG73" s="2" t="s">
        <v>386</v>
      </c>
      <c r="BH73" s="2" t="s">
        <v>73</v>
      </c>
      <c r="BI73" s="2" t="s">
        <v>73</v>
      </c>
      <c r="BJ73" s="2" t="s">
        <v>73</v>
      </c>
      <c r="BK73" s="2" t="s">
        <v>678</v>
      </c>
      <c r="BL73" s="2" t="s">
        <v>73</v>
      </c>
      <c r="BM73" s="12">
        <v>88</v>
      </c>
    </row>
    <row r="74" spans="1:65">
      <c r="A74" s="2" t="s">
        <v>60</v>
      </c>
      <c r="B74" s="2" t="s">
        <v>679</v>
      </c>
      <c r="C74" s="2" t="s">
        <v>680</v>
      </c>
      <c r="D74" s="2" t="s">
        <v>99</v>
      </c>
      <c r="E74" s="2" t="s">
        <v>100</v>
      </c>
      <c r="F74" s="2" t="s">
        <v>101</v>
      </c>
      <c r="G74" t="str">
        <f t="shared" si="3"/>
        <v>PSYCH01</v>
      </c>
      <c r="H74" s="2" t="s">
        <v>66</v>
      </c>
      <c r="I74" s="2" t="s">
        <v>67</v>
      </c>
      <c r="J74" s="2" t="s">
        <v>67</v>
      </c>
      <c r="K74" s="2" t="s">
        <v>140</v>
      </c>
      <c r="L74" s="2" t="s">
        <v>69</v>
      </c>
      <c r="M74" s="2" t="s">
        <v>681</v>
      </c>
      <c r="N74" t="str">
        <f t="shared" si="4"/>
        <v>August</v>
      </c>
      <c r="O74" s="2" t="s">
        <v>681</v>
      </c>
      <c r="P74" s="2" t="s">
        <v>71</v>
      </c>
      <c r="Q74" s="2" t="s">
        <v>72</v>
      </c>
      <c r="R74" s="2" t="s">
        <v>73</v>
      </c>
      <c r="S74" s="2" t="s">
        <v>682</v>
      </c>
      <c r="T74" s="2" t="s">
        <v>231</v>
      </c>
      <c r="U74" s="2" t="s">
        <v>75</v>
      </c>
      <c r="V74" s="2" t="s">
        <v>231</v>
      </c>
      <c r="W74" s="2" t="s">
        <v>665</v>
      </c>
      <c r="X74" s="2" t="s">
        <v>75</v>
      </c>
      <c r="Y74" s="2" t="s">
        <v>665</v>
      </c>
      <c r="Z74" s="2" t="s">
        <v>76</v>
      </c>
      <c r="AA74" s="2" t="s">
        <v>665</v>
      </c>
      <c r="AB74" s="2" t="s">
        <v>75</v>
      </c>
      <c r="AC74" s="2" t="s">
        <v>75</v>
      </c>
      <c r="AD74" s="2" t="s">
        <v>75</v>
      </c>
      <c r="AE74" s="2" t="s">
        <v>75</v>
      </c>
      <c r="AF74" s="2" t="s">
        <v>75</v>
      </c>
      <c r="AG74" s="2" t="s">
        <v>75</v>
      </c>
      <c r="AH74" s="2" t="s">
        <v>75</v>
      </c>
      <c r="AI74" s="2" t="s">
        <v>75</v>
      </c>
      <c r="AJ74" s="2" t="s">
        <v>75</v>
      </c>
      <c r="AK74" s="2" t="s">
        <v>75</v>
      </c>
      <c r="AL74" s="2" t="s">
        <v>75</v>
      </c>
      <c r="AM74" s="2" t="s">
        <v>75</v>
      </c>
      <c r="AN74" s="2" t="s">
        <v>75</v>
      </c>
      <c r="AO74" s="2" t="s">
        <v>75</v>
      </c>
      <c r="AP74" s="2" t="s">
        <v>75</v>
      </c>
      <c r="AQ74" s="2" t="s">
        <v>75</v>
      </c>
      <c r="AR74" s="2" t="s">
        <v>75</v>
      </c>
      <c r="AS74" s="2" t="s">
        <v>75</v>
      </c>
      <c r="AT74" s="2" t="s">
        <v>75</v>
      </c>
      <c r="AU74" s="2" t="s">
        <v>683</v>
      </c>
      <c r="AV74" s="2" t="s">
        <v>684</v>
      </c>
      <c r="AW74" s="2" t="s">
        <v>665</v>
      </c>
      <c r="AX74" s="2" t="s">
        <v>685</v>
      </c>
      <c r="AY74" s="2" t="s">
        <v>261</v>
      </c>
      <c r="AZ74" s="2" t="s">
        <v>685</v>
      </c>
      <c r="BA74" t="s">
        <v>1352</v>
      </c>
      <c r="BB74" s="13" t="str">
        <f t="shared" si="5"/>
        <v xml:space="preserve"> Varanasi</v>
      </c>
      <c r="BC74" s="2" t="s">
        <v>261</v>
      </c>
      <c r="BD74" s="2" t="s">
        <v>686</v>
      </c>
      <c r="BE74" s="2" t="s">
        <v>81</v>
      </c>
      <c r="BF74" s="2" t="s">
        <v>82</v>
      </c>
      <c r="BG74" s="2" t="s">
        <v>668</v>
      </c>
      <c r="BH74" s="2" t="s">
        <v>73</v>
      </c>
      <c r="BI74" s="2" t="s">
        <v>73</v>
      </c>
      <c r="BJ74" s="2" t="s">
        <v>73</v>
      </c>
      <c r="BK74" s="2" t="s">
        <v>687</v>
      </c>
      <c r="BL74" s="2" t="s">
        <v>73</v>
      </c>
      <c r="BM74" s="12">
        <v>75</v>
      </c>
    </row>
    <row r="75" spans="1:65">
      <c r="A75" s="2" t="s">
        <v>60</v>
      </c>
      <c r="B75" s="2" t="s">
        <v>688</v>
      </c>
      <c r="C75" s="2" t="s">
        <v>689</v>
      </c>
      <c r="D75" s="2" t="s">
        <v>437</v>
      </c>
      <c r="E75" s="2" t="s">
        <v>438</v>
      </c>
      <c r="F75" s="2" t="s">
        <v>439</v>
      </c>
      <c r="G75" t="str">
        <f t="shared" si="3"/>
        <v>RICH-DAD-HINDI03</v>
      </c>
      <c r="H75" s="2" t="s">
        <v>66</v>
      </c>
      <c r="I75" s="2" t="s">
        <v>67</v>
      </c>
      <c r="J75" s="2" t="s">
        <v>67</v>
      </c>
      <c r="K75" s="2" t="s">
        <v>140</v>
      </c>
      <c r="L75" s="2" t="s">
        <v>69</v>
      </c>
      <c r="M75" s="2" t="s">
        <v>690</v>
      </c>
      <c r="N75" t="str">
        <f t="shared" si="4"/>
        <v>August</v>
      </c>
      <c r="O75" s="2" t="s">
        <v>690</v>
      </c>
      <c r="P75" s="2" t="s">
        <v>71</v>
      </c>
      <c r="Q75" s="2" t="s">
        <v>72</v>
      </c>
      <c r="R75" s="2" t="s">
        <v>73</v>
      </c>
      <c r="S75" s="2" t="s">
        <v>673</v>
      </c>
      <c r="T75" s="2" t="s">
        <v>674</v>
      </c>
      <c r="U75" s="2" t="s">
        <v>75</v>
      </c>
      <c r="V75" s="2" t="s">
        <v>674</v>
      </c>
      <c r="W75" s="2" t="s">
        <v>383</v>
      </c>
      <c r="X75" s="2" t="s">
        <v>75</v>
      </c>
      <c r="Y75" s="2" t="s">
        <v>383</v>
      </c>
      <c r="Z75" s="2" t="s">
        <v>76</v>
      </c>
      <c r="AA75" s="2" t="s">
        <v>383</v>
      </c>
      <c r="AB75" s="2" t="s">
        <v>75</v>
      </c>
      <c r="AC75" s="2" t="s">
        <v>75</v>
      </c>
      <c r="AD75" s="2" t="s">
        <v>75</v>
      </c>
      <c r="AE75" s="2" t="s">
        <v>75</v>
      </c>
      <c r="AF75" s="2" t="s">
        <v>75</v>
      </c>
      <c r="AG75" s="2" t="s">
        <v>75</v>
      </c>
      <c r="AH75" s="2" t="s">
        <v>75</v>
      </c>
      <c r="AI75" s="2" t="s">
        <v>75</v>
      </c>
      <c r="AJ75" s="2" t="s">
        <v>75</v>
      </c>
      <c r="AK75" s="2" t="s">
        <v>75</v>
      </c>
      <c r="AL75" s="2" t="s">
        <v>75</v>
      </c>
      <c r="AM75" s="2" t="s">
        <v>75</v>
      </c>
      <c r="AN75" s="2" t="s">
        <v>75</v>
      </c>
      <c r="AO75" s="2" t="s">
        <v>75</v>
      </c>
      <c r="AP75" s="2" t="s">
        <v>75</v>
      </c>
      <c r="AQ75" s="2" t="s">
        <v>75</v>
      </c>
      <c r="AR75" s="2" t="s">
        <v>75</v>
      </c>
      <c r="AS75" s="2" t="s">
        <v>75</v>
      </c>
      <c r="AT75" s="2" t="s">
        <v>75</v>
      </c>
      <c r="AU75" s="2" t="s">
        <v>691</v>
      </c>
      <c r="AV75" s="2" t="s">
        <v>692</v>
      </c>
      <c r="AW75" s="2" t="s">
        <v>383</v>
      </c>
      <c r="AX75" s="2" t="s">
        <v>693</v>
      </c>
      <c r="AY75" s="2" t="s">
        <v>592</v>
      </c>
      <c r="AZ75" s="2" t="s">
        <v>693</v>
      </c>
      <c r="BA75" t="s">
        <v>1353</v>
      </c>
      <c r="BB75" s="13" t="str">
        <f t="shared" si="5"/>
        <v xml:space="preserve"> New Delhi</v>
      </c>
      <c r="BC75" s="2" t="s">
        <v>592</v>
      </c>
      <c r="BD75" s="2" t="s">
        <v>653</v>
      </c>
      <c r="BE75" s="2" t="s">
        <v>81</v>
      </c>
      <c r="BF75" s="2" t="s">
        <v>82</v>
      </c>
      <c r="BG75" s="2" t="s">
        <v>386</v>
      </c>
      <c r="BH75" s="2" t="s">
        <v>73</v>
      </c>
      <c r="BI75" s="2" t="s">
        <v>73</v>
      </c>
      <c r="BJ75" s="2" t="s">
        <v>73</v>
      </c>
      <c r="BK75" s="2" t="s">
        <v>694</v>
      </c>
      <c r="BL75" s="2" t="s">
        <v>73</v>
      </c>
      <c r="BM75" s="12">
        <v>83</v>
      </c>
    </row>
    <row r="76" spans="1:65">
      <c r="A76" s="2" t="s">
        <v>60</v>
      </c>
      <c r="B76" s="2" t="s">
        <v>695</v>
      </c>
      <c r="C76" s="2" t="s">
        <v>696</v>
      </c>
      <c r="D76" s="2" t="s">
        <v>697</v>
      </c>
      <c r="E76" s="2" t="s">
        <v>698</v>
      </c>
      <c r="F76" s="2" t="s">
        <v>699</v>
      </c>
      <c r="G76" t="str">
        <f t="shared" si="3"/>
        <v>KARMA-2</v>
      </c>
      <c r="H76" s="2" t="s">
        <v>66</v>
      </c>
      <c r="I76" s="2" t="s">
        <v>67</v>
      </c>
      <c r="J76" s="2" t="s">
        <v>67</v>
      </c>
      <c r="K76" s="2" t="s">
        <v>68</v>
      </c>
      <c r="L76" s="2" t="s">
        <v>69</v>
      </c>
      <c r="M76" s="2" t="s">
        <v>700</v>
      </c>
      <c r="N76" t="str">
        <f t="shared" si="4"/>
        <v>August</v>
      </c>
      <c r="O76" s="2" t="s">
        <v>700</v>
      </c>
      <c r="P76" s="2" t="s">
        <v>71</v>
      </c>
      <c r="Q76" s="2" t="s">
        <v>72</v>
      </c>
      <c r="R76" s="2" t="s">
        <v>73</v>
      </c>
      <c r="S76" s="2" t="s">
        <v>701</v>
      </c>
      <c r="T76" s="2" t="s">
        <v>702</v>
      </c>
      <c r="U76" s="2" t="s">
        <v>75</v>
      </c>
      <c r="V76" s="2" t="s">
        <v>702</v>
      </c>
      <c r="W76" s="2" t="s">
        <v>703</v>
      </c>
      <c r="X76" s="2" t="s">
        <v>75</v>
      </c>
      <c r="Y76" s="2" t="s">
        <v>703</v>
      </c>
      <c r="Z76" s="2" t="s">
        <v>76</v>
      </c>
      <c r="AA76" s="2" t="s">
        <v>703</v>
      </c>
      <c r="AB76" s="2" t="s">
        <v>75</v>
      </c>
      <c r="AC76" s="2" t="s">
        <v>75</v>
      </c>
      <c r="AD76" s="2" t="s">
        <v>75</v>
      </c>
      <c r="AE76" s="2" t="s">
        <v>75</v>
      </c>
      <c r="AF76" s="2" t="s">
        <v>75</v>
      </c>
      <c r="AG76" s="2" t="s">
        <v>75</v>
      </c>
      <c r="AH76" s="2" t="s">
        <v>75</v>
      </c>
      <c r="AI76" s="2" t="s">
        <v>75</v>
      </c>
      <c r="AJ76" s="2" t="s">
        <v>75</v>
      </c>
      <c r="AK76" s="2" t="s">
        <v>75</v>
      </c>
      <c r="AL76" s="2" t="s">
        <v>75</v>
      </c>
      <c r="AM76" s="2" t="s">
        <v>75</v>
      </c>
      <c r="AN76" s="2" t="s">
        <v>75</v>
      </c>
      <c r="AO76" s="2" t="s">
        <v>75</v>
      </c>
      <c r="AP76" s="2" t="s">
        <v>75</v>
      </c>
      <c r="AQ76" s="2" t="s">
        <v>75</v>
      </c>
      <c r="AR76" s="2" t="s">
        <v>75</v>
      </c>
      <c r="AS76" s="2" t="s">
        <v>75</v>
      </c>
      <c r="AT76" s="2" t="s">
        <v>75</v>
      </c>
      <c r="AU76" s="2" t="s">
        <v>704</v>
      </c>
      <c r="AV76" s="2" t="s">
        <v>705</v>
      </c>
      <c r="AW76" s="2" t="s">
        <v>703</v>
      </c>
      <c r="AX76" s="2" t="s">
        <v>706</v>
      </c>
      <c r="AY76" s="2" t="s">
        <v>395</v>
      </c>
      <c r="AZ76" s="2" t="s">
        <v>706</v>
      </c>
      <c r="BA76" t="s">
        <v>1354</v>
      </c>
      <c r="BB76" s="13" t="str">
        <f t="shared" si="5"/>
        <v xml:space="preserve"> Adilabad</v>
      </c>
      <c r="BC76" s="2" t="s">
        <v>395</v>
      </c>
      <c r="BD76" s="2" t="s">
        <v>246</v>
      </c>
      <c r="BE76" s="2" t="s">
        <v>81</v>
      </c>
      <c r="BF76" s="2" t="s">
        <v>82</v>
      </c>
      <c r="BG76" s="2" t="s">
        <v>707</v>
      </c>
      <c r="BH76" s="2" t="s">
        <v>73</v>
      </c>
      <c r="BI76" s="2" t="s">
        <v>73</v>
      </c>
      <c r="BJ76" s="2" t="s">
        <v>73</v>
      </c>
      <c r="BK76" s="2" t="s">
        <v>708</v>
      </c>
      <c r="BL76" s="2" t="s">
        <v>73</v>
      </c>
      <c r="BM76" s="12">
        <v>71</v>
      </c>
    </row>
    <row r="77" spans="1:65">
      <c r="A77" s="2" t="s">
        <v>60</v>
      </c>
      <c r="B77" s="2" t="s">
        <v>709</v>
      </c>
      <c r="C77" s="2" t="s">
        <v>710</v>
      </c>
      <c r="D77" s="2" t="s">
        <v>437</v>
      </c>
      <c r="E77" s="2" t="s">
        <v>438</v>
      </c>
      <c r="F77" s="2" t="s">
        <v>439</v>
      </c>
      <c r="G77" t="str">
        <f t="shared" si="3"/>
        <v>RICH-DAD-HINDI03</v>
      </c>
      <c r="H77" s="2" t="s">
        <v>66</v>
      </c>
      <c r="I77" s="2" t="s">
        <v>67</v>
      </c>
      <c r="J77" s="2" t="s">
        <v>67</v>
      </c>
      <c r="K77" s="2" t="s">
        <v>140</v>
      </c>
      <c r="L77" s="2" t="s">
        <v>69</v>
      </c>
      <c r="M77" s="2" t="s">
        <v>711</v>
      </c>
      <c r="N77" t="str">
        <f t="shared" si="4"/>
        <v>August</v>
      </c>
      <c r="O77" s="2" t="s">
        <v>711</v>
      </c>
      <c r="P77" s="2" t="s">
        <v>71</v>
      </c>
      <c r="Q77" s="2" t="s">
        <v>72</v>
      </c>
      <c r="R77" s="2" t="s">
        <v>73</v>
      </c>
      <c r="S77" s="2" t="s">
        <v>441</v>
      </c>
      <c r="T77" s="2" t="s">
        <v>75</v>
      </c>
      <c r="U77" s="2" t="s">
        <v>75</v>
      </c>
      <c r="V77" s="2" t="s">
        <v>75</v>
      </c>
      <c r="W77" s="2" t="s">
        <v>441</v>
      </c>
      <c r="X77" s="2" t="s">
        <v>75</v>
      </c>
      <c r="Y77" s="2" t="s">
        <v>441</v>
      </c>
      <c r="Z77" s="2" t="s">
        <v>76</v>
      </c>
      <c r="AA77" s="2" t="s">
        <v>441</v>
      </c>
      <c r="AB77" s="2" t="s">
        <v>75</v>
      </c>
      <c r="AC77" s="2" t="s">
        <v>75</v>
      </c>
      <c r="AD77" s="2" t="s">
        <v>75</v>
      </c>
      <c r="AE77" s="2" t="s">
        <v>75</v>
      </c>
      <c r="AF77" s="2" t="s">
        <v>75</v>
      </c>
      <c r="AG77" s="2" t="s">
        <v>75</v>
      </c>
      <c r="AH77" s="2" t="s">
        <v>75</v>
      </c>
      <c r="AI77" s="2" t="s">
        <v>75</v>
      </c>
      <c r="AJ77" s="2" t="s">
        <v>75</v>
      </c>
      <c r="AK77" s="2" t="s">
        <v>75</v>
      </c>
      <c r="AL77" s="2" t="s">
        <v>75</v>
      </c>
      <c r="AM77" s="2" t="s">
        <v>75</v>
      </c>
      <c r="AN77" s="2" t="s">
        <v>75</v>
      </c>
      <c r="AO77" s="2" t="s">
        <v>75</v>
      </c>
      <c r="AP77" s="2" t="s">
        <v>75</v>
      </c>
      <c r="AQ77" s="2" t="s">
        <v>75</v>
      </c>
      <c r="AR77" s="2" t="s">
        <v>75</v>
      </c>
      <c r="AS77" s="2" t="s">
        <v>75</v>
      </c>
      <c r="AT77" s="2" t="s">
        <v>75</v>
      </c>
      <c r="AU77" s="2" t="s">
        <v>712</v>
      </c>
      <c r="AV77" s="2" t="s">
        <v>713</v>
      </c>
      <c r="AW77" s="2" t="s">
        <v>441</v>
      </c>
      <c r="AX77" s="2" t="s">
        <v>714</v>
      </c>
      <c r="AY77" s="2" t="s">
        <v>715</v>
      </c>
      <c r="AZ77" s="2" t="s">
        <v>714</v>
      </c>
      <c r="BA77" t="s">
        <v>1355</v>
      </c>
      <c r="BB77" s="13" t="str">
        <f t="shared" si="5"/>
        <v xml:space="preserve"> Ambala</v>
      </c>
      <c r="BC77" s="2" t="s">
        <v>715</v>
      </c>
      <c r="BD77" s="2" t="s">
        <v>653</v>
      </c>
      <c r="BE77" s="2" t="s">
        <v>81</v>
      </c>
      <c r="BF77" s="2" t="s">
        <v>82</v>
      </c>
      <c r="BG77" s="2" t="s">
        <v>444</v>
      </c>
      <c r="BH77" s="2" t="s">
        <v>73</v>
      </c>
      <c r="BI77" s="2" t="s">
        <v>73</v>
      </c>
      <c r="BJ77" s="2" t="s">
        <v>73</v>
      </c>
      <c r="BK77" s="2" t="s">
        <v>716</v>
      </c>
      <c r="BL77" s="2" t="s">
        <v>73</v>
      </c>
      <c r="BM77" s="12">
        <v>87</v>
      </c>
    </row>
    <row r="78" spans="1:65">
      <c r="A78" s="2" t="s">
        <v>60</v>
      </c>
      <c r="B78" s="2" t="s">
        <v>717</v>
      </c>
      <c r="C78" s="2" t="s">
        <v>718</v>
      </c>
      <c r="D78" s="2" t="s">
        <v>525</v>
      </c>
      <c r="E78" s="2" t="s">
        <v>526</v>
      </c>
      <c r="F78" s="2" t="s">
        <v>527</v>
      </c>
      <c r="G78" t="str">
        <f t="shared" si="3"/>
        <v>WHO-WILL-CRY01</v>
      </c>
      <c r="H78" s="2" t="s">
        <v>66</v>
      </c>
      <c r="I78" s="2" t="s">
        <v>67</v>
      </c>
      <c r="J78" s="2" t="s">
        <v>67</v>
      </c>
      <c r="K78" s="2" t="s">
        <v>68</v>
      </c>
      <c r="L78" s="2" t="s">
        <v>69</v>
      </c>
      <c r="M78" s="2" t="s">
        <v>719</v>
      </c>
      <c r="N78" t="str">
        <f t="shared" si="4"/>
        <v>August</v>
      </c>
      <c r="O78" s="2" t="s">
        <v>719</v>
      </c>
      <c r="P78" s="2" t="s">
        <v>71</v>
      </c>
      <c r="Q78" s="2" t="s">
        <v>72</v>
      </c>
      <c r="R78" s="2" t="s">
        <v>73</v>
      </c>
      <c r="S78" s="2" t="s">
        <v>665</v>
      </c>
      <c r="T78" s="2" t="s">
        <v>75</v>
      </c>
      <c r="U78" s="2" t="s">
        <v>75</v>
      </c>
      <c r="V78" s="2" t="s">
        <v>75</v>
      </c>
      <c r="W78" s="2" t="s">
        <v>665</v>
      </c>
      <c r="X78" s="2" t="s">
        <v>75</v>
      </c>
      <c r="Y78" s="2" t="s">
        <v>665</v>
      </c>
      <c r="Z78" s="2" t="s">
        <v>76</v>
      </c>
      <c r="AA78" s="2" t="s">
        <v>665</v>
      </c>
      <c r="AB78" s="2" t="s">
        <v>75</v>
      </c>
      <c r="AC78" s="2" t="s">
        <v>75</v>
      </c>
      <c r="AD78" s="2" t="s">
        <v>75</v>
      </c>
      <c r="AE78" s="2" t="s">
        <v>75</v>
      </c>
      <c r="AF78" s="2" t="s">
        <v>75</v>
      </c>
      <c r="AG78" s="2" t="s">
        <v>75</v>
      </c>
      <c r="AH78" s="2" t="s">
        <v>75</v>
      </c>
      <c r="AI78" s="2" t="s">
        <v>75</v>
      </c>
      <c r="AJ78" s="2" t="s">
        <v>75</v>
      </c>
      <c r="AK78" s="2" t="s">
        <v>75</v>
      </c>
      <c r="AL78" s="2" t="s">
        <v>75</v>
      </c>
      <c r="AM78" s="2" t="s">
        <v>75</v>
      </c>
      <c r="AN78" s="2" t="s">
        <v>75</v>
      </c>
      <c r="AO78" s="2" t="s">
        <v>75</v>
      </c>
      <c r="AP78" s="2" t="s">
        <v>75</v>
      </c>
      <c r="AQ78" s="2" t="s">
        <v>75</v>
      </c>
      <c r="AR78" s="2" t="s">
        <v>75</v>
      </c>
      <c r="AS78" s="2" t="s">
        <v>75</v>
      </c>
      <c r="AT78" s="2" t="s">
        <v>75</v>
      </c>
      <c r="AU78" s="2" t="s">
        <v>720</v>
      </c>
      <c r="AV78" s="2" t="s">
        <v>705</v>
      </c>
      <c r="AW78" s="2" t="s">
        <v>665</v>
      </c>
      <c r="AX78" s="2" t="s">
        <v>721</v>
      </c>
      <c r="AY78" s="2" t="s">
        <v>325</v>
      </c>
      <c r="AZ78" s="2" t="s">
        <v>721</v>
      </c>
      <c r="BA78" t="s">
        <v>1356</v>
      </c>
      <c r="BB78" s="13" t="str">
        <f t="shared" si="5"/>
        <v xml:space="preserve"> Kozhikode</v>
      </c>
      <c r="BC78" s="2" t="s">
        <v>325</v>
      </c>
      <c r="BD78" s="2" t="s">
        <v>533</v>
      </c>
      <c r="BE78" s="2" t="s">
        <v>81</v>
      </c>
      <c r="BF78" s="2" t="s">
        <v>82</v>
      </c>
      <c r="BG78" s="2" t="s">
        <v>668</v>
      </c>
      <c r="BH78" s="2" t="s">
        <v>73</v>
      </c>
      <c r="BI78" s="2" t="s">
        <v>73</v>
      </c>
      <c r="BJ78" s="2" t="s">
        <v>73</v>
      </c>
      <c r="BK78" s="2" t="s">
        <v>722</v>
      </c>
      <c r="BL78" s="2" t="s">
        <v>73</v>
      </c>
      <c r="BM78" s="12">
        <v>82</v>
      </c>
    </row>
    <row r="79" spans="1:65">
      <c r="A79" s="2" t="s">
        <v>60</v>
      </c>
      <c r="B79" s="2" t="s">
        <v>723</v>
      </c>
      <c r="C79" s="2" t="s">
        <v>724</v>
      </c>
      <c r="D79" s="2" t="s">
        <v>649</v>
      </c>
      <c r="E79" s="2" t="s">
        <v>650</v>
      </c>
      <c r="F79" s="2" t="s">
        <v>651</v>
      </c>
      <c r="G79" t="str">
        <f t="shared" si="3"/>
        <v>DOGLAPAN02</v>
      </c>
      <c r="H79" s="2" t="s">
        <v>66</v>
      </c>
      <c r="I79" s="2" t="s">
        <v>67</v>
      </c>
      <c r="J79" s="2" t="s">
        <v>67</v>
      </c>
      <c r="K79" s="2" t="s">
        <v>68</v>
      </c>
      <c r="L79" s="2" t="s">
        <v>69</v>
      </c>
      <c r="M79" s="2" t="s">
        <v>700</v>
      </c>
      <c r="N79" t="str">
        <f t="shared" si="4"/>
        <v>August</v>
      </c>
      <c r="O79" s="2" t="s">
        <v>700</v>
      </c>
      <c r="P79" s="2" t="s">
        <v>71</v>
      </c>
      <c r="Q79" s="2" t="s">
        <v>72</v>
      </c>
      <c r="R79" s="2" t="s">
        <v>73</v>
      </c>
      <c r="S79" s="2" t="s">
        <v>653</v>
      </c>
      <c r="T79" s="2" t="s">
        <v>725</v>
      </c>
      <c r="U79" s="2" t="s">
        <v>75</v>
      </c>
      <c r="V79" s="2" t="s">
        <v>725</v>
      </c>
      <c r="W79" s="2" t="s">
        <v>726</v>
      </c>
      <c r="X79" s="2" t="s">
        <v>75</v>
      </c>
      <c r="Y79" s="2" t="s">
        <v>726</v>
      </c>
      <c r="Z79" s="2" t="s">
        <v>76</v>
      </c>
      <c r="AA79" s="2" t="s">
        <v>726</v>
      </c>
      <c r="AB79" s="2" t="s">
        <v>75</v>
      </c>
      <c r="AC79" s="2" t="s">
        <v>75</v>
      </c>
      <c r="AD79" s="2" t="s">
        <v>75</v>
      </c>
      <c r="AE79" s="2" t="s">
        <v>75</v>
      </c>
      <c r="AF79" s="2" t="s">
        <v>75</v>
      </c>
      <c r="AG79" s="2" t="s">
        <v>75</v>
      </c>
      <c r="AH79" s="2" t="s">
        <v>75</v>
      </c>
      <c r="AI79" s="2" t="s">
        <v>75</v>
      </c>
      <c r="AJ79" s="2" t="s">
        <v>75</v>
      </c>
      <c r="AK79" s="2" t="s">
        <v>75</v>
      </c>
      <c r="AL79" s="2" t="s">
        <v>75</v>
      </c>
      <c r="AM79" s="2" t="s">
        <v>75</v>
      </c>
      <c r="AN79" s="2" t="s">
        <v>75</v>
      </c>
      <c r="AO79" s="2" t="s">
        <v>75</v>
      </c>
      <c r="AP79" s="2" t="s">
        <v>75</v>
      </c>
      <c r="AQ79" s="2" t="s">
        <v>75</v>
      </c>
      <c r="AR79" s="2" t="s">
        <v>75</v>
      </c>
      <c r="AS79" s="2" t="s">
        <v>75</v>
      </c>
      <c r="AT79" s="2" t="s">
        <v>75</v>
      </c>
      <c r="AU79" s="2" t="s">
        <v>727</v>
      </c>
      <c r="AV79" s="2" t="s">
        <v>705</v>
      </c>
      <c r="AW79" s="2" t="s">
        <v>726</v>
      </c>
      <c r="AX79" s="2" t="s">
        <v>728</v>
      </c>
      <c r="AY79" s="2" t="s">
        <v>117</v>
      </c>
      <c r="AZ79" s="2" t="s">
        <v>728</v>
      </c>
      <c r="BA79" t="s">
        <v>1357</v>
      </c>
      <c r="BB79" s="13" t="str">
        <f t="shared" si="5"/>
        <v xml:space="preserve"> Ratnagiri</v>
      </c>
      <c r="BC79" s="2" t="s">
        <v>117</v>
      </c>
      <c r="BD79" s="2" t="s">
        <v>659</v>
      </c>
      <c r="BE79" s="2" t="s">
        <v>81</v>
      </c>
      <c r="BF79" s="2" t="s">
        <v>82</v>
      </c>
      <c r="BG79" s="2" t="s">
        <v>729</v>
      </c>
      <c r="BH79" s="2" t="s">
        <v>73</v>
      </c>
      <c r="BI79" s="2" t="s">
        <v>73</v>
      </c>
      <c r="BJ79" s="2" t="s">
        <v>73</v>
      </c>
      <c r="BK79" s="2" t="s">
        <v>661</v>
      </c>
      <c r="BL79" s="2" t="s">
        <v>73</v>
      </c>
      <c r="BM79" s="12">
        <v>89</v>
      </c>
    </row>
    <row r="80" spans="1:65">
      <c r="A80" s="2" t="s">
        <v>60</v>
      </c>
      <c r="B80" s="2" t="s">
        <v>730</v>
      </c>
      <c r="C80" s="2" t="s">
        <v>731</v>
      </c>
      <c r="D80" s="2" t="s">
        <v>732</v>
      </c>
      <c r="E80" s="2" t="s">
        <v>733</v>
      </c>
      <c r="F80" s="2" t="s">
        <v>734</v>
      </c>
      <c r="G80" t="str">
        <f t="shared" si="3"/>
        <v>DOMORE-4</v>
      </c>
      <c r="H80" s="2" t="s">
        <v>66</v>
      </c>
      <c r="I80" s="2" t="s">
        <v>67</v>
      </c>
      <c r="J80" s="2" t="s">
        <v>67</v>
      </c>
      <c r="K80" s="2" t="s">
        <v>140</v>
      </c>
      <c r="L80" s="2" t="s">
        <v>69</v>
      </c>
      <c r="M80" s="2" t="s">
        <v>735</v>
      </c>
      <c r="N80" t="str">
        <f t="shared" si="4"/>
        <v>August</v>
      </c>
      <c r="O80" s="2" t="s">
        <v>735</v>
      </c>
      <c r="P80" s="2" t="s">
        <v>71</v>
      </c>
      <c r="Q80" s="2" t="s">
        <v>72</v>
      </c>
      <c r="R80" s="2" t="s">
        <v>73</v>
      </c>
      <c r="S80" s="2" t="s">
        <v>281</v>
      </c>
      <c r="T80" s="2" t="s">
        <v>231</v>
      </c>
      <c r="U80" s="2" t="s">
        <v>75</v>
      </c>
      <c r="V80" s="2" t="s">
        <v>231</v>
      </c>
      <c r="W80" s="2" t="s">
        <v>282</v>
      </c>
      <c r="X80" s="2" t="s">
        <v>75</v>
      </c>
      <c r="Y80" s="2" t="s">
        <v>282</v>
      </c>
      <c r="Z80" s="2" t="s">
        <v>76</v>
      </c>
      <c r="AA80" s="2" t="s">
        <v>282</v>
      </c>
      <c r="AB80" s="2" t="s">
        <v>75</v>
      </c>
      <c r="AC80" s="2" t="s">
        <v>75</v>
      </c>
      <c r="AD80" s="2" t="s">
        <v>75</v>
      </c>
      <c r="AE80" s="2" t="s">
        <v>75</v>
      </c>
      <c r="AF80" s="2" t="s">
        <v>75</v>
      </c>
      <c r="AG80" s="2" t="s">
        <v>75</v>
      </c>
      <c r="AH80" s="2" t="s">
        <v>75</v>
      </c>
      <c r="AI80" s="2" t="s">
        <v>75</v>
      </c>
      <c r="AJ80" s="2" t="s">
        <v>75</v>
      </c>
      <c r="AK80" s="2" t="s">
        <v>75</v>
      </c>
      <c r="AL80" s="2" t="s">
        <v>75</v>
      </c>
      <c r="AM80" s="2" t="s">
        <v>75</v>
      </c>
      <c r="AN80" s="2" t="s">
        <v>75</v>
      </c>
      <c r="AO80" s="2" t="s">
        <v>75</v>
      </c>
      <c r="AP80" s="2" t="s">
        <v>75</v>
      </c>
      <c r="AQ80" s="2" t="s">
        <v>75</v>
      </c>
      <c r="AR80" s="2" t="s">
        <v>75</v>
      </c>
      <c r="AS80" s="2" t="s">
        <v>75</v>
      </c>
      <c r="AT80" s="2" t="s">
        <v>75</v>
      </c>
      <c r="AU80" s="2" t="s">
        <v>736</v>
      </c>
      <c r="AV80" s="2" t="s">
        <v>737</v>
      </c>
      <c r="AW80" s="2" t="s">
        <v>282</v>
      </c>
      <c r="AX80" s="2" t="s">
        <v>738</v>
      </c>
      <c r="AY80" s="2" t="s">
        <v>355</v>
      </c>
      <c r="AZ80" s="2" t="s">
        <v>738</v>
      </c>
      <c r="BA80" t="s">
        <v>1358</v>
      </c>
      <c r="BB80" s="13" t="str">
        <f t="shared" si="5"/>
        <v xml:space="preserve"> Vijayawada</v>
      </c>
      <c r="BC80" s="2" t="s">
        <v>355</v>
      </c>
      <c r="BD80" s="2" t="s">
        <v>739</v>
      </c>
      <c r="BE80" s="2" t="s">
        <v>81</v>
      </c>
      <c r="BF80" s="2" t="s">
        <v>82</v>
      </c>
      <c r="BG80" s="2" t="s">
        <v>286</v>
      </c>
      <c r="BH80" s="2" t="s">
        <v>73</v>
      </c>
      <c r="BI80" s="2" t="s">
        <v>73</v>
      </c>
      <c r="BJ80" s="2" t="s">
        <v>73</v>
      </c>
      <c r="BK80" s="2" t="s">
        <v>740</v>
      </c>
      <c r="BL80" s="2" t="s">
        <v>73</v>
      </c>
      <c r="BM80" s="12">
        <v>73</v>
      </c>
    </row>
    <row r="81" spans="1:65">
      <c r="A81" s="2" t="s">
        <v>60</v>
      </c>
      <c r="B81" s="2" t="s">
        <v>741</v>
      </c>
      <c r="C81" s="2" t="s">
        <v>742</v>
      </c>
      <c r="D81" s="2" t="s">
        <v>525</v>
      </c>
      <c r="E81" s="2" t="s">
        <v>526</v>
      </c>
      <c r="F81" s="2" t="s">
        <v>527</v>
      </c>
      <c r="G81" t="str">
        <f t="shared" si="3"/>
        <v>WHO-WILL-CRY01</v>
      </c>
      <c r="H81" s="2" t="s">
        <v>66</v>
      </c>
      <c r="I81" s="2" t="s">
        <v>67</v>
      </c>
      <c r="J81" s="2" t="s">
        <v>67</v>
      </c>
      <c r="K81" s="2" t="s">
        <v>68</v>
      </c>
      <c r="L81" s="2" t="s">
        <v>69</v>
      </c>
      <c r="M81" s="2" t="s">
        <v>743</v>
      </c>
      <c r="N81" t="str">
        <f t="shared" si="4"/>
        <v>August</v>
      </c>
      <c r="O81" s="2" t="s">
        <v>743</v>
      </c>
      <c r="P81" s="2" t="s">
        <v>71</v>
      </c>
      <c r="Q81" s="2" t="s">
        <v>72</v>
      </c>
      <c r="R81" s="2" t="s">
        <v>73</v>
      </c>
      <c r="S81" s="2" t="s">
        <v>367</v>
      </c>
      <c r="T81" s="2" t="s">
        <v>744</v>
      </c>
      <c r="U81" s="2" t="s">
        <v>75</v>
      </c>
      <c r="V81" s="2" t="s">
        <v>744</v>
      </c>
      <c r="W81" s="2" t="s">
        <v>745</v>
      </c>
      <c r="X81" s="2" t="s">
        <v>75</v>
      </c>
      <c r="Y81" s="2" t="s">
        <v>745</v>
      </c>
      <c r="Z81" s="2" t="s">
        <v>76</v>
      </c>
      <c r="AA81" s="2" t="s">
        <v>745</v>
      </c>
      <c r="AB81" s="2" t="s">
        <v>75</v>
      </c>
      <c r="AC81" s="2" t="s">
        <v>75</v>
      </c>
      <c r="AD81" s="2" t="s">
        <v>75</v>
      </c>
      <c r="AE81" s="2" t="s">
        <v>75</v>
      </c>
      <c r="AF81" s="2" t="s">
        <v>75</v>
      </c>
      <c r="AG81" s="2" t="s">
        <v>75</v>
      </c>
      <c r="AH81" s="2" t="s">
        <v>75</v>
      </c>
      <c r="AI81" s="2" t="s">
        <v>75</v>
      </c>
      <c r="AJ81" s="2" t="s">
        <v>75</v>
      </c>
      <c r="AK81" s="2" t="s">
        <v>75</v>
      </c>
      <c r="AL81" s="2" t="s">
        <v>75</v>
      </c>
      <c r="AM81" s="2" t="s">
        <v>75</v>
      </c>
      <c r="AN81" s="2" t="s">
        <v>75</v>
      </c>
      <c r="AO81" s="2" t="s">
        <v>75</v>
      </c>
      <c r="AP81" s="2" t="s">
        <v>75</v>
      </c>
      <c r="AQ81" s="2" t="s">
        <v>75</v>
      </c>
      <c r="AR81" s="2" t="s">
        <v>75</v>
      </c>
      <c r="AS81" s="2" t="s">
        <v>75</v>
      </c>
      <c r="AT81" s="2" t="s">
        <v>75</v>
      </c>
      <c r="AU81" s="2" t="s">
        <v>746</v>
      </c>
      <c r="AV81" s="2" t="s">
        <v>747</v>
      </c>
      <c r="AW81" s="2" t="s">
        <v>745</v>
      </c>
      <c r="AX81" s="2" t="s">
        <v>748</v>
      </c>
      <c r="AY81" s="2" t="s">
        <v>147</v>
      </c>
      <c r="AZ81" s="2" t="s">
        <v>748</v>
      </c>
      <c r="BA81" t="s">
        <v>1359</v>
      </c>
      <c r="BB81" s="13" t="str">
        <f t="shared" si="5"/>
        <v xml:space="preserve"> Dibrugarh</v>
      </c>
      <c r="BC81" s="2" t="s">
        <v>147</v>
      </c>
      <c r="BD81" s="2" t="s">
        <v>73</v>
      </c>
      <c r="BE81" s="2" t="s">
        <v>81</v>
      </c>
      <c r="BF81" s="2" t="s">
        <v>82</v>
      </c>
      <c r="BG81" s="2" t="s">
        <v>749</v>
      </c>
      <c r="BH81" s="2" t="s">
        <v>73</v>
      </c>
      <c r="BI81" s="2" t="s">
        <v>73</v>
      </c>
      <c r="BJ81" s="2" t="s">
        <v>73</v>
      </c>
      <c r="BK81" s="2" t="s">
        <v>750</v>
      </c>
      <c r="BL81" s="2" t="s">
        <v>73</v>
      </c>
      <c r="BM81" s="12">
        <v>80</v>
      </c>
    </row>
    <row r="82" spans="1:65">
      <c r="A82" s="2" t="s">
        <v>60</v>
      </c>
      <c r="B82" s="2" t="s">
        <v>723</v>
      </c>
      <c r="C82" s="2" t="s">
        <v>751</v>
      </c>
      <c r="D82" s="2" t="s">
        <v>649</v>
      </c>
      <c r="E82" s="2" t="s">
        <v>650</v>
      </c>
      <c r="F82" s="2" t="s">
        <v>651</v>
      </c>
      <c r="G82" t="str">
        <f t="shared" si="3"/>
        <v>DOGLAPAN02</v>
      </c>
      <c r="H82" s="2" t="s">
        <v>66</v>
      </c>
      <c r="I82" s="2" t="s">
        <v>67</v>
      </c>
      <c r="J82" s="2" t="s">
        <v>67</v>
      </c>
      <c r="K82" s="2" t="s">
        <v>68</v>
      </c>
      <c r="L82" s="2" t="s">
        <v>69</v>
      </c>
      <c r="M82" s="2" t="s">
        <v>752</v>
      </c>
      <c r="N82" t="str">
        <f t="shared" si="4"/>
        <v>August</v>
      </c>
      <c r="O82" s="2" t="s">
        <v>752</v>
      </c>
      <c r="P82" s="2" t="s">
        <v>71</v>
      </c>
      <c r="Q82" s="2" t="s">
        <v>72</v>
      </c>
      <c r="R82" s="2" t="s">
        <v>73</v>
      </c>
      <c r="S82" s="2" t="s">
        <v>653</v>
      </c>
      <c r="T82" s="2" t="s">
        <v>725</v>
      </c>
      <c r="U82" s="2" t="s">
        <v>75</v>
      </c>
      <c r="V82" s="2" t="s">
        <v>725</v>
      </c>
      <c r="W82" s="2" t="s">
        <v>726</v>
      </c>
      <c r="X82" s="2" t="s">
        <v>75</v>
      </c>
      <c r="Y82" s="2" t="s">
        <v>726</v>
      </c>
      <c r="Z82" s="2" t="s">
        <v>76</v>
      </c>
      <c r="AA82" s="2" t="s">
        <v>726</v>
      </c>
      <c r="AB82" s="2" t="s">
        <v>75</v>
      </c>
      <c r="AC82" s="2" t="s">
        <v>75</v>
      </c>
      <c r="AD82" s="2" t="s">
        <v>75</v>
      </c>
      <c r="AE82" s="2" t="s">
        <v>75</v>
      </c>
      <c r="AF82" s="2" t="s">
        <v>75</v>
      </c>
      <c r="AG82" s="2" t="s">
        <v>75</v>
      </c>
      <c r="AH82" s="2" t="s">
        <v>75</v>
      </c>
      <c r="AI82" s="2" t="s">
        <v>75</v>
      </c>
      <c r="AJ82" s="2" t="s">
        <v>75</v>
      </c>
      <c r="AK82" s="2" t="s">
        <v>75</v>
      </c>
      <c r="AL82" s="2" t="s">
        <v>75</v>
      </c>
      <c r="AM82" s="2" t="s">
        <v>75</v>
      </c>
      <c r="AN82" s="2" t="s">
        <v>75</v>
      </c>
      <c r="AO82" s="2" t="s">
        <v>75</v>
      </c>
      <c r="AP82" s="2" t="s">
        <v>75</v>
      </c>
      <c r="AQ82" s="2" t="s">
        <v>75</v>
      </c>
      <c r="AR82" s="2" t="s">
        <v>75</v>
      </c>
      <c r="AS82" s="2" t="s">
        <v>75</v>
      </c>
      <c r="AT82" s="2" t="s">
        <v>75</v>
      </c>
      <c r="AU82" s="2" t="s">
        <v>753</v>
      </c>
      <c r="AV82" s="2" t="s">
        <v>754</v>
      </c>
      <c r="AW82" s="2" t="s">
        <v>726</v>
      </c>
      <c r="AX82" s="2" t="s">
        <v>728</v>
      </c>
      <c r="AY82" s="2" t="s">
        <v>117</v>
      </c>
      <c r="AZ82" s="2" t="s">
        <v>728</v>
      </c>
      <c r="BA82" t="s">
        <v>1417</v>
      </c>
      <c r="BB82" s="13" t="str">
        <f t="shared" si="5"/>
        <v xml:space="preserve"> Kolhapur</v>
      </c>
      <c r="BC82" s="2" t="s">
        <v>117</v>
      </c>
      <c r="BD82" s="2" t="s">
        <v>659</v>
      </c>
      <c r="BE82" s="2" t="s">
        <v>81</v>
      </c>
      <c r="BF82" s="2" t="s">
        <v>82</v>
      </c>
      <c r="BG82" s="2" t="s">
        <v>729</v>
      </c>
      <c r="BH82" s="2" t="s">
        <v>73</v>
      </c>
      <c r="BI82" s="2" t="s">
        <v>73</v>
      </c>
      <c r="BJ82" s="2" t="s">
        <v>73</v>
      </c>
      <c r="BK82" s="2" t="s">
        <v>661</v>
      </c>
      <c r="BL82" s="2" t="s">
        <v>73</v>
      </c>
      <c r="BM82" s="12">
        <v>77</v>
      </c>
    </row>
    <row r="83" spans="1:65">
      <c r="A83" s="2" t="s">
        <v>60</v>
      </c>
      <c r="B83" s="2" t="s">
        <v>723</v>
      </c>
      <c r="C83" s="2" t="s">
        <v>724</v>
      </c>
      <c r="D83" s="2" t="s">
        <v>649</v>
      </c>
      <c r="E83" s="2" t="s">
        <v>650</v>
      </c>
      <c r="F83" s="2" t="s">
        <v>651</v>
      </c>
      <c r="G83" t="str">
        <f t="shared" si="3"/>
        <v>DOGLAPAN02</v>
      </c>
      <c r="H83" s="2" t="s">
        <v>66</v>
      </c>
      <c r="I83" s="2" t="s">
        <v>138</v>
      </c>
      <c r="J83" s="2" t="s">
        <v>138</v>
      </c>
      <c r="K83" s="2" t="s">
        <v>68</v>
      </c>
      <c r="L83" s="2" t="s">
        <v>69</v>
      </c>
      <c r="M83" s="2" t="s">
        <v>700</v>
      </c>
      <c r="N83" t="str">
        <f t="shared" si="4"/>
        <v>August</v>
      </c>
      <c r="O83" s="2" t="s">
        <v>700</v>
      </c>
      <c r="P83" s="2" t="s">
        <v>71</v>
      </c>
      <c r="Q83" s="2" t="s">
        <v>72</v>
      </c>
      <c r="R83" s="2" t="s">
        <v>73</v>
      </c>
      <c r="S83" s="2" t="s">
        <v>653</v>
      </c>
      <c r="T83" s="2" t="s">
        <v>725</v>
      </c>
      <c r="U83" s="2" t="s">
        <v>75</v>
      </c>
      <c r="V83" s="2" t="s">
        <v>725</v>
      </c>
      <c r="W83" s="2" t="s">
        <v>726</v>
      </c>
      <c r="X83" s="2" t="s">
        <v>75</v>
      </c>
      <c r="Y83" s="2" t="s">
        <v>726</v>
      </c>
      <c r="Z83" s="2" t="s">
        <v>76</v>
      </c>
      <c r="AA83" s="2" t="s">
        <v>755</v>
      </c>
      <c r="AB83" s="2" t="s">
        <v>75</v>
      </c>
      <c r="AC83" s="2" t="s">
        <v>75</v>
      </c>
      <c r="AD83" s="2" t="s">
        <v>75</v>
      </c>
      <c r="AE83" s="2" t="s">
        <v>75</v>
      </c>
      <c r="AF83" s="2" t="s">
        <v>75</v>
      </c>
      <c r="AG83" s="2" t="s">
        <v>75</v>
      </c>
      <c r="AH83" s="2" t="s">
        <v>75</v>
      </c>
      <c r="AI83" s="2" t="s">
        <v>75</v>
      </c>
      <c r="AJ83" s="2" t="s">
        <v>75</v>
      </c>
      <c r="AK83" s="2" t="s">
        <v>75</v>
      </c>
      <c r="AL83" s="2" t="s">
        <v>75</v>
      </c>
      <c r="AM83" s="2" t="s">
        <v>75</v>
      </c>
      <c r="AN83" s="2" t="s">
        <v>75</v>
      </c>
      <c r="AO83" s="2" t="s">
        <v>75</v>
      </c>
      <c r="AP83" s="2" t="s">
        <v>75</v>
      </c>
      <c r="AQ83" s="2" t="s">
        <v>75</v>
      </c>
      <c r="AR83" s="2" t="s">
        <v>75</v>
      </c>
      <c r="AS83" s="2" t="s">
        <v>75</v>
      </c>
      <c r="AT83" s="2" t="s">
        <v>75</v>
      </c>
      <c r="AU83" s="2" t="s">
        <v>756</v>
      </c>
      <c r="AV83" s="2" t="s">
        <v>754</v>
      </c>
      <c r="AW83" s="2" t="s">
        <v>755</v>
      </c>
      <c r="AX83" s="2" t="s">
        <v>728</v>
      </c>
      <c r="AY83" s="2" t="s">
        <v>117</v>
      </c>
      <c r="AZ83" s="2" t="s">
        <v>728</v>
      </c>
      <c r="BA83" t="s">
        <v>1417</v>
      </c>
      <c r="BB83" s="13" t="str">
        <f t="shared" si="5"/>
        <v xml:space="preserve"> Kolhapur</v>
      </c>
      <c r="BC83" s="2" t="s">
        <v>117</v>
      </c>
      <c r="BD83" s="2" t="s">
        <v>659</v>
      </c>
      <c r="BE83" s="2" t="s">
        <v>81</v>
      </c>
      <c r="BF83" s="2" t="s">
        <v>82</v>
      </c>
      <c r="BG83" s="2" t="s">
        <v>729</v>
      </c>
      <c r="BH83" s="2" t="s">
        <v>73</v>
      </c>
      <c r="BI83" s="2" t="s">
        <v>73</v>
      </c>
      <c r="BJ83" s="2" t="s">
        <v>73</v>
      </c>
      <c r="BK83" s="2" t="s">
        <v>661</v>
      </c>
      <c r="BL83" s="2" t="s">
        <v>73</v>
      </c>
      <c r="BM83" s="12">
        <v>84</v>
      </c>
    </row>
    <row r="84" spans="1:65">
      <c r="A84" s="2" t="s">
        <v>60</v>
      </c>
      <c r="B84" s="2" t="s">
        <v>662</v>
      </c>
      <c r="C84" s="2" t="s">
        <v>663</v>
      </c>
      <c r="D84" s="2" t="s">
        <v>87</v>
      </c>
      <c r="E84" s="2" t="s">
        <v>88</v>
      </c>
      <c r="F84" s="2" t="s">
        <v>89</v>
      </c>
      <c r="G84" t="str">
        <f t="shared" si="3"/>
        <v>ALCHEMIST01</v>
      </c>
      <c r="H84" s="2" t="s">
        <v>66</v>
      </c>
      <c r="I84" s="2" t="s">
        <v>138</v>
      </c>
      <c r="J84" s="2" t="s">
        <v>138</v>
      </c>
      <c r="K84" s="2" t="s">
        <v>140</v>
      </c>
      <c r="L84" s="2" t="s">
        <v>69</v>
      </c>
      <c r="M84" s="2" t="s">
        <v>664</v>
      </c>
      <c r="N84" t="str">
        <f t="shared" si="4"/>
        <v>August</v>
      </c>
      <c r="O84" s="2" t="s">
        <v>664</v>
      </c>
      <c r="P84" s="2" t="s">
        <v>71</v>
      </c>
      <c r="Q84" s="2" t="s">
        <v>72</v>
      </c>
      <c r="R84" s="2" t="s">
        <v>73</v>
      </c>
      <c r="S84" s="2" t="s">
        <v>340</v>
      </c>
      <c r="T84" s="2" t="s">
        <v>496</v>
      </c>
      <c r="U84" s="2" t="s">
        <v>75</v>
      </c>
      <c r="V84" s="2" t="s">
        <v>496</v>
      </c>
      <c r="W84" s="2" t="s">
        <v>665</v>
      </c>
      <c r="X84" s="2" t="s">
        <v>75</v>
      </c>
      <c r="Y84" s="2" t="s">
        <v>665</v>
      </c>
      <c r="Z84" s="2" t="s">
        <v>76</v>
      </c>
      <c r="AA84" s="2" t="s">
        <v>757</v>
      </c>
      <c r="AB84" s="2" t="s">
        <v>75</v>
      </c>
      <c r="AC84" s="2" t="s">
        <v>75</v>
      </c>
      <c r="AD84" s="2" t="s">
        <v>75</v>
      </c>
      <c r="AE84" s="2" t="s">
        <v>75</v>
      </c>
      <c r="AF84" s="2" t="s">
        <v>75</v>
      </c>
      <c r="AG84" s="2" t="s">
        <v>75</v>
      </c>
      <c r="AH84" s="2" t="s">
        <v>75</v>
      </c>
      <c r="AI84" s="2" t="s">
        <v>75</v>
      </c>
      <c r="AJ84" s="2" t="s">
        <v>75</v>
      </c>
      <c r="AK84" s="2" t="s">
        <v>75</v>
      </c>
      <c r="AL84" s="2" t="s">
        <v>75</v>
      </c>
      <c r="AM84" s="2" t="s">
        <v>75</v>
      </c>
      <c r="AN84" s="2" t="s">
        <v>75</v>
      </c>
      <c r="AO84" s="2" t="s">
        <v>75</v>
      </c>
      <c r="AP84" s="2" t="s">
        <v>75</v>
      </c>
      <c r="AQ84" s="2" t="s">
        <v>75</v>
      </c>
      <c r="AR84" s="2" t="s">
        <v>75</v>
      </c>
      <c r="AS84" s="2" t="s">
        <v>75</v>
      </c>
      <c r="AT84" s="2" t="s">
        <v>75</v>
      </c>
      <c r="AU84" s="2" t="s">
        <v>758</v>
      </c>
      <c r="AV84" s="2" t="s">
        <v>759</v>
      </c>
      <c r="AW84" s="2" t="s">
        <v>757</v>
      </c>
      <c r="AX84" s="2" t="s">
        <v>667</v>
      </c>
      <c r="AY84" s="2" t="s">
        <v>117</v>
      </c>
      <c r="AZ84" s="2" t="s">
        <v>667</v>
      </c>
      <c r="BA84" t="s">
        <v>1418</v>
      </c>
      <c r="BB84" s="13" t="str">
        <f t="shared" si="5"/>
        <v xml:space="preserve"> Jalgaon</v>
      </c>
      <c r="BC84" s="2" t="s">
        <v>117</v>
      </c>
      <c r="BD84" s="2" t="s">
        <v>186</v>
      </c>
      <c r="BE84" s="2" t="s">
        <v>81</v>
      </c>
      <c r="BF84" s="2" t="s">
        <v>82</v>
      </c>
      <c r="BG84" s="2" t="s">
        <v>668</v>
      </c>
      <c r="BH84" s="2" t="s">
        <v>73</v>
      </c>
      <c r="BI84" s="2" t="s">
        <v>73</v>
      </c>
      <c r="BJ84" s="2" t="s">
        <v>73</v>
      </c>
      <c r="BK84" s="2" t="s">
        <v>669</v>
      </c>
      <c r="BL84" s="2" t="s">
        <v>73</v>
      </c>
      <c r="BM84" s="12">
        <v>86</v>
      </c>
    </row>
    <row r="85" spans="1:65">
      <c r="A85" s="2" t="s">
        <v>60</v>
      </c>
      <c r="B85" s="2" t="s">
        <v>760</v>
      </c>
      <c r="C85" s="2" t="s">
        <v>761</v>
      </c>
      <c r="D85" s="2" t="s">
        <v>87</v>
      </c>
      <c r="E85" s="2" t="s">
        <v>88</v>
      </c>
      <c r="F85" s="2" t="s">
        <v>89</v>
      </c>
      <c r="G85" t="str">
        <f t="shared" si="3"/>
        <v>ALCHEMIST01</v>
      </c>
      <c r="H85" s="2" t="s">
        <v>66</v>
      </c>
      <c r="I85" s="2" t="s">
        <v>67</v>
      </c>
      <c r="J85" s="2" t="s">
        <v>67</v>
      </c>
      <c r="K85" s="2" t="s">
        <v>68</v>
      </c>
      <c r="L85" s="2" t="s">
        <v>69</v>
      </c>
      <c r="M85" s="2" t="s">
        <v>719</v>
      </c>
      <c r="N85" t="str">
        <f t="shared" si="4"/>
        <v>August</v>
      </c>
      <c r="O85" s="2" t="s">
        <v>719</v>
      </c>
      <c r="P85" s="2" t="s">
        <v>71</v>
      </c>
      <c r="Q85" s="2" t="s">
        <v>72</v>
      </c>
      <c r="R85" s="2" t="s">
        <v>73</v>
      </c>
      <c r="S85" s="2" t="s">
        <v>340</v>
      </c>
      <c r="T85" s="2" t="s">
        <v>496</v>
      </c>
      <c r="U85" s="2" t="s">
        <v>75</v>
      </c>
      <c r="V85" s="2" t="s">
        <v>496</v>
      </c>
      <c r="W85" s="2" t="s">
        <v>665</v>
      </c>
      <c r="X85" s="2" t="s">
        <v>75</v>
      </c>
      <c r="Y85" s="2" t="s">
        <v>665</v>
      </c>
      <c r="Z85" s="2" t="s">
        <v>76</v>
      </c>
      <c r="AA85" s="2" t="s">
        <v>665</v>
      </c>
      <c r="AB85" s="2" t="s">
        <v>75</v>
      </c>
      <c r="AC85" s="2" t="s">
        <v>75</v>
      </c>
      <c r="AD85" s="2" t="s">
        <v>75</v>
      </c>
      <c r="AE85" s="2" t="s">
        <v>75</v>
      </c>
      <c r="AF85" s="2" t="s">
        <v>75</v>
      </c>
      <c r="AG85" s="2" t="s">
        <v>75</v>
      </c>
      <c r="AH85" s="2" t="s">
        <v>75</v>
      </c>
      <c r="AI85" s="2" t="s">
        <v>75</v>
      </c>
      <c r="AJ85" s="2" t="s">
        <v>75</v>
      </c>
      <c r="AK85" s="2" t="s">
        <v>75</v>
      </c>
      <c r="AL85" s="2" t="s">
        <v>75</v>
      </c>
      <c r="AM85" s="2" t="s">
        <v>75</v>
      </c>
      <c r="AN85" s="2" t="s">
        <v>75</v>
      </c>
      <c r="AO85" s="2" t="s">
        <v>75</v>
      </c>
      <c r="AP85" s="2" t="s">
        <v>75</v>
      </c>
      <c r="AQ85" s="2" t="s">
        <v>75</v>
      </c>
      <c r="AR85" s="2" t="s">
        <v>75</v>
      </c>
      <c r="AS85" s="2" t="s">
        <v>75</v>
      </c>
      <c r="AT85" s="2" t="s">
        <v>75</v>
      </c>
      <c r="AU85" s="2" t="s">
        <v>762</v>
      </c>
      <c r="AV85" s="2" t="s">
        <v>763</v>
      </c>
      <c r="AW85" s="2" t="s">
        <v>665</v>
      </c>
      <c r="AX85" s="2" t="s">
        <v>764</v>
      </c>
      <c r="AY85" s="2" t="s">
        <v>355</v>
      </c>
      <c r="AZ85" s="2" t="s">
        <v>764</v>
      </c>
      <c r="BA85" t="s">
        <v>1360</v>
      </c>
      <c r="BB85" s="13" t="str">
        <f t="shared" si="5"/>
        <v xml:space="preserve"> Vijayawada</v>
      </c>
      <c r="BC85" s="2" t="s">
        <v>355</v>
      </c>
      <c r="BD85" s="2" t="s">
        <v>186</v>
      </c>
      <c r="BE85" s="2" t="s">
        <v>81</v>
      </c>
      <c r="BF85" s="2" t="s">
        <v>82</v>
      </c>
      <c r="BG85" s="2" t="s">
        <v>668</v>
      </c>
      <c r="BH85" s="2" t="s">
        <v>73</v>
      </c>
      <c r="BI85" s="2" t="s">
        <v>73</v>
      </c>
      <c r="BJ85" s="2" t="s">
        <v>73</v>
      </c>
      <c r="BK85" s="2" t="s">
        <v>765</v>
      </c>
      <c r="BL85" s="2" t="s">
        <v>73</v>
      </c>
      <c r="BM85" s="12">
        <v>74</v>
      </c>
    </row>
    <row r="86" spans="1:65">
      <c r="A86" s="2" t="s">
        <v>60</v>
      </c>
      <c r="B86" s="2" t="s">
        <v>766</v>
      </c>
      <c r="C86" s="2" t="s">
        <v>767</v>
      </c>
      <c r="D86" s="2" t="s">
        <v>768</v>
      </c>
      <c r="E86" s="2" t="s">
        <v>769</v>
      </c>
      <c r="F86" s="2" t="s">
        <v>770</v>
      </c>
      <c r="G86" t="str">
        <f t="shared" si="3"/>
        <v>RICH-DAD-HINDI02</v>
      </c>
      <c r="H86" s="2" t="s">
        <v>66</v>
      </c>
      <c r="I86" s="2" t="s">
        <v>67</v>
      </c>
      <c r="J86" s="2" t="s">
        <v>67</v>
      </c>
      <c r="K86" s="2" t="s">
        <v>140</v>
      </c>
      <c r="L86" s="2" t="s">
        <v>69</v>
      </c>
      <c r="M86" s="2" t="s">
        <v>771</v>
      </c>
      <c r="N86" t="str">
        <f t="shared" si="4"/>
        <v>August</v>
      </c>
      <c r="O86" s="2" t="s">
        <v>771</v>
      </c>
      <c r="P86" s="2" t="s">
        <v>71</v>
      </c>
      <c r="Q86" s="2" t="s">
        <v>72</v>
      </c>
      <c r="R86" s="2" t="s">
        <v>73</v>
      </c>
      <c r="S86" s="2" t="s">
        <v>772</v>
      </c>
      <c r="T86" s="2" t="s">
        <v>773</v>
      </c>
      <c r="U86" s="2" t="s">
        <v>75</v>
      </c>
      <c r="V86" s="2" t="s">
        <v>773</v>
      </c>
      <c r="W86" s="2" t="s">
        <v>774</v>
      </c>
      <c r="X86" s="2" t="s">
        <v>75</v>
      </c>
      <c r="Y86" s="2" t="s">
        <v>774</v>
      </c>
      <c r="Z86" s="2" t="s">
        <v>76</v>
      </c>
      <c r="AA86" s="2" t="s">
        <v>774</v>
      </c>
      <c r="AB86" s="2" t="s">
        <v>75</v>
      </c>
      <c r="AC86" s="2" t="s">
        <v>75</v>
      </c>
      <c r="AD86" s="2" t="s">
        <v>75</v>
      </c>
      <c r="AE86" s="2" t="s">
        <v>75</v>
      </c>
      <c r="AF86" s="2" t="s">
        <v>75</v>
      </c>
      <c r="AG86" s="2" t="s">
        <v>75</v>
      </c>
      <c r="AH86" s="2" t="s">
        <v>75</v>
      </c>
      <c r="AI86" s="2" t="s">
        <v>75</v>
      </c>
      <c r="AJ86" s="2" t="s">
        <v>75</v>
      </c>
      <c r="AK86" s="2" t="s">
        <v>75</v>
      </c>
      <c r="AL86" s="2" t="s">
        <v>75</v>
      </c>
      <c r="AM86" s="2" t="s">
        <v>75</v>
      </c>
      <c r="AN86" s="2" t="s">
        <v>75</v>
      </c>
      <c r="AO86" s="2" t="s">
        <v>75</v>
      </c>
      <c r="AP86" s="2" t="s">
        <v>75</v>
      </c>
      <c r="AQ86" s="2" t="s">
        <v>75</v>
      </c>
      <c r="AR86" s="2" t="s">
        <v>75</v>
      </c>
      <c r="AS86" s="2" t="s">
        <v>75</v>
      </c>
      <c r="AT86" s="2" t="s">
        <v>75</v>
      </c>
      <c r="AU86" s="2" t="s">
        <v>775</v>
      </c>
      <c r="AV86" s="2" t="s">
        <v>763</v>
      </c>
      <c r="AW86" s="2" t="s">
        <v>774</v>
      </c>
      <c r="AX86" s="2" t="s">
        <v>776</v>
      </c>
      <c r="AY86" s="2" t="s">
        <v>124</v>
      </c>
      <c r="AZ86" s="2" t="s">
        <v>776</v>
      </c>
      <c r="BA86" t="s">
        <v>1361</v>
      </c>
      <c r="BB86" s="13" t="str">
        <f t="shared" si="5"/>
        <v xml:space="preserve"> Ahmedabad</v>
      </c>
      <c r="BC86" s="2" t="s">
        <v>124</v>
      </c>
      <c r="BD86" s="2" t="s">
        <v>653</v>
      </c>
      <c r="BE86" s="2" t="s">
        <v>81</v>
      </c>
      <c r="BF86" s="2" t="s">
        <v>82</v>
      </c>
      <c r="BG86" s="2" t="s">
        <v>777</v>
      </c>
      <c r="BH86" s="2" t="s">
        <v>73</v>
      </c>
      <c r="BI86" s="2" t="s">
        <v>73</v>
      </c>
      <c r="BJ86" s="2" t="s">
        <v>73</v>
      </c>
      <c r="BK86" s="2" t="s">
        <v>778</v>
      </c>
      <c r="BL86" s="2" t="s">
        <v>73</v>
      </c>
      <c r="BM86" s="12">
        <v>78</v>
      </c>
    </row>
    <row r="87" spans="1:65">
      <c r="A87" s="2" t="s">
        <v>60</v>
      </c>
      <c r="B87" s="2" t="s">
        <v>717</v>
      </c>
      <c r="C87" s="2" t="s">
        <v>718</v>
      </c>
      <c r="D87" s="2" t="s">
        <v>525</v>
      </c>
      <c r="E87" s="2" t="s">
        <v>526</v>
      </c>
      <c r="F87" s="2" t="s">
        <v>527</v>
      </c>
      <c r="G87" t="str">
        <f t="shared" si="3"/>
        <v>WHO-WILL-CRY01</v>
      </c>
      <c r="H87" s="2" t="s">
        <v>66</v>
      </c>
      <c r="I87" s="2" t="s">
        <v>138</v>
      </c>
      <c r="J87" s="2" t="s">
        <v>138</v>
      </c>
      <c r="K87" s="2" t="s">
        <v>68</v>
      </c>
      <c r="L87" s="2" t="s">
        <v>69</v>
      </c>
      <c r="M87" s="2" t="s">
        <v>719</v>
      </c>
      <c r="N87" t="str">
        <f t="shared" si="4"/>
        <v>August</v>
      </c>
      <c r="O87" s="2" t="s">
        <v>719</v>
      </c>
      <c r="P87" s="2" t="s">
        <v>71</v>
      </c>
      <c r="Q87" s="2" t="s">
        <v>72</v>
      </c>
      <c r="R87" s="2" t="s">
        <v>73</v>
      </c>
      <c r="S87" s="2" t="s">
        <v>665</v>
      </c>
      <c r="T87" s="2" t="s">
        <v>75</v>
      </c>
      <c r="U87" s="2" t="s">
        <v>75</v>
      </c>
      <c r="V87" s="2" t="s">
        <v>75</v>
      </c>
      <c r="W87" s="2" t="s">
        <v>665</v>
      </c>
      <c r="X87" s="2" t="s">
        <v>75</v>
      </c>
      <c r="Y87" s="2" t="s">
        <v>665</v>
      </c>
      <c r="Z87" s="2" t="s">
        <v>76</v>
      </c>
      <c r="AA87" s="2" t="s">
        <v>757</v>
      </c>
      <c r="AB87" s="2" t="s">
        <v>75</v>
      </c>
      <c r="AC87" s="2" t="s">
        <v>75</v>
      </c>
      <c r="AD87" s="2" t="s">
        <v>75</v>
      </c>
      <c r="AE87" s="2" t="s">
        <v>75</v>
      </c>
      <c r="AF87" s="2" t="s">
        <v>75</v>
      </c>
      <c r="AG87" s="2" t="s">
        <v>75</v>
      </c>
      <c r="AH87" s="2" t="s">
        <v>75</v>
      </c>
      <c r="AI87" s="2" t="s">
        <v>75</v>
      </c>
      <c r="AJ87" s="2" t="s">
        <v>75</v>
      </c>
      <c r="AK87" s="2" t="s">
        <v>75</v>
      </c>
      <c r="AL87" s="2" t="s">
        <v>75</v>
      </c>
      <c r="AM87" s="2" t="s">
        <v>75</v>
      </c>
      <c r="AN87" s="2" t="s">
        <v>75</v>
      </c>
      <c r="AO87" s="2" t="s">
        <v>75</v>
      </c>
      <c r="AP87" s="2" t="s">
        <v>75</v>
      </c>
      <c r="AQ87" s="2" t="s">
        <v>75</v>
      </c>
      <c r="AR87" s="2" t="s">
        <v>75</v>
      </c>
      <c r="AS87" s="2" t="s">
        <v>75</v>
      </c>
      <c r="AT87" s="2" t="s">
        <v>75</v>
      </c>
      <c r="AU87" s="2" t="s">
        <v>779</v>
      </c>
      <c r="AV87" s="2" t="s">
        <v>759</v>
      </c>
      <c r="AW87" s="2" t="s">
        <v>757</v>
      </c>
      <c r="AX87" s="2" t="s">
        <v>721</v>
      </c>
      <c r="AY87" s="2" t="s">
        <v>325</v>
      </c>
      <c r="AZ87" s="2" t="s">
        <v>721</v>
      </c>
      <c r="BA87" s="7" t="s">
        <v>1362</v>
      </c>
      <c r="BB87" s="13" t="str">
        <f t="shared" si="5"/>
        <v xml:space="preserve"> Chittorgarh</v>
      </c>
      <c r="BC87" s="2" t="s">
        <v>325</v>
      </c>
      <c r="BD87" s="2" t="s">
        <v>533</v>
      </c>
      <c r="BE87" s="2" t="s">
        <v>81</v>
      </c>
      <c r="BF87" s="2" t="s">
        <v>82</v>
      </c>
      <c r="BG87" s="2" t="s">
        <v>668</v>
      </c>
      <c r="BH87" s="2" t="s">
        <v>73</v>
      </c>
      <c r="BI87" s="2" t="s">
        <v>73</v>
      </c>
      <c r="BJ87" s="2" t="s">
        <v>73</v>
      </c>
      <c r="BK87" s="2" t="s">
        <v>722</v>
      </c>
      <c r="BL87" s="2" t="s">
        <v>73</v>
      </c>
      <c r="BM87" s="12">
        <v>85</v>
      </c>
    </row>
    <row r="88" spans="1:65">
      <c r="A88" s="2" t="s">
        <v>60</v>
      </c>
      <c r="B88" s="2" t="s">
        <v>780</v>
      </c>
      <c r="C88" s="2" t="s">
        <v>781</v>
      </c>
      <c r="D88" s="2" t="s">
        <v>305</v>
      </c>
      <c r="E88" s="2" t="s">
        <v>306</v>
      </c>
      <c r="F88" s="2" t="s">
        <v>307</v>
      </c>
      <c r="G88" t="str">
        <f t="shared" si="3"/>
        <v>THANGRORICH</v>
      </c>
      <c r="H88" s="2" t="s">
        <v>66</v>
      </c>
      <c r="I88" s="2" t="s">
        <v>67</v>
      </c>
      <c r="J88" s="2" t="s">
        <v>67</v>
      </c>
      <c r="K88" s="2" t="s">
        <v>68</v>
      </c>
      <c r="L88" s="2" t="s">
        <v>69</v>
      </c>
      <c r="M88" s="2" t="s">
        <v>782</v>
      </c>
      <c r="N88" t="str">
        <f t="shared" si="4"/>
        <v>August</v>
      </c>
      <c r="O88" s="2" t="s">
        <v>782</v>
      </c>
      <c r="P88" s="2" t="s">
        <v>71</v>
      </c>
      <c r="Q88" s="2" t="s">
        <v>72</v>
      </c>
      <c r="R88" s="2" t="s">
        <v>73</v>
      </c>
      <c r="S88" s="2" t="s">
        <v>783</v>
      </c>
      <c r="T88" s="2" t="s">
        <v>75</v>
      </c>
      <c r="U88" s="2" t="s">
        <v>75</v>
      </c>
      <c r="V88" s="2" t="s">
        <v>75</v>
      </c>
      <c r="W88" s="2" t="s">
        <v>783</v>
      </c>
      <c r="X88" s="2" t="s">
        <v>75</v>
      </c>
      <c r="Y88" s="2" t="s">
        <v>783</v>
      </c>
      <c r="Z88" s="2" t="s">
        <v>76</v>
      </c>
      <c r="AA88" s="2" t="s">
        <v>783</v>
      </c>
      <c r="AB88" s="2" t="s">
        <v>75</v>
      </c>
      <c r="AC88" s="2" t="s">
        <v>75</v>
      </c>
      <c r="AD88" s="2" t="s">
        <v>75</v>
      </c>
      <c r="AE88" s="2" t="s">
        <v>75</v>
      </c>
      <c r="AF88" s="2" t="s">
        <v>75</v>
      </c>
      <c r="AG88" s="2" t="s">
        <v>75</v>
      </c>
      <c r="AH88" s="2" t="s">
        <v>75</v>
      </c>
      <c r="AI88" s="2" t="s">
        <v>75</v>
      </c>
      <c r="AJ88" s="2" t="s">
        <v>75</v>
      </c>
      <c r="AK88" s="2" t="s">
        <v>75</v>
      </c>
      <c r="AL88" s="2" t="s">
        <v>75</v>
      </c>
      <c r="AM88" s="2" t="s">
        <v>75</v>
      </c>
      <c r="AN88" s="2" t="s">
        <v>75</v>
      </c>
      <c r="AO88" s="2" t="s">
        <v>75</v>
      </c>
      <c r="AP88" s="2" t="s">
        <v>75</v>
      </c>
      <c r="AQ88" s="2" t="s">
        <v>75</v>
      </c>
      <c r="AR88" s="2" t="s">
        <v>75</v>
      </c>
      <c r="AS88" s="2" t="s">
        <v>75</v>
      </c>
      <c r="AT88" s="2" t="s">
        <v>75</v>
      </c>
      <c r="AU88" s="2" t="s">
        <v>784</v>
      </c>
      <c r="AV88" s="2" t="s">
        <v>785</v>
      </c>
      <c r="AW88" s="2" t="s">
        <v>783</v>
      </c>
      <c r="AX88" s="2" t="s">
        <v>786</v>
      </c>
      <c r="AY88" s="2" t="s">
        <v>539</v>
      </c>
      <c r="AZ88" s="2" t="s">
        <v>786</v>
      </c>
      <c r="BA88" t="s">
        <v>1419</v>
      </c>
      <c r="BB88" s="13" t="str">
        <f t="shared" si="5"/>
        <v xml:space="preserve"> Chittorgarh</v>
      </c>
      <c r="BC88" s="2" t="s">
        <v>539</v>
      </c>
      <c r="BD88" s="2" t="s">
        <v>73</v>
      </c>
      <c r="BE88" s="2" t="s">
        <v>81</v>
      </c>
      <c r="BF88" s="2" t="s">
        <v>82</v>
      </c>
      <c r="BG88" s="2" t="s">
        <v>787</v>
      </c>
      <c r="BH88" s="2" t="s">
        <v>73</v>
      </c>
      <c r="BI88" s="2" t="s">
        <v>73</v>
      </c>
      <c r="BJ88" s="2" t="s">
        <v>73</v>
      </c>
      <c r="BK88" s="2" t="s">
        <v>788</v>
      </c>
      <c r="BL88" s="2" t="s">
        <v>73</v>
      </c>
      <c r="BM88" s="12">
        <v>72</v>
      </c>
    </row>
    <row r="89" spans="1:65">
      <c r="A89" s="2" t="s">
        <v>60</v>
      </c>
      <c r="B89" s="2" t="s">
        <v>723</v>
      </c>
      <c r="C89" s="2" t="s">
        <v>751</v>
      </c>
      <c r="D89" s="2" t="s">
        <v>649</v>
      </c>
      <c r="E89" s="2" t="s">
        <v>650</v>
      </c>
      <c r="F89" s="2" t="s">
        <v>651</v>
      </c>
      <c r="G89" t="str">
        <f t="shared" si="3"/>
        <v>DOGLAPAN02</v>
      </c>
      <c r="H89" s="2" t="s">
        <v>66</v>
      </c>
      <c r="I89" s="2" t="s">
        <v>138</v>
      </c>
      <c r="J89" s="2" t="s">
        <v>139</v>
      </c>
      <c r="K89" s="2" t="s">
        <v>68</v>
      </c>
      <c r="L89" s="2" t="s">
        <v>69</v>
      </c>
      <c r="M89" s="2" t="s">
        <v>752</v>
      </c>
      <c r="N89" t="str">
        <f t="shared" si="4"/>
        <v>August</v>
      </c>
      <c r="O89" s="2" t="s">
        <v>752</v>
      </c>
      <c r="P89" s="2" t="s">
        <v>71</v>
      </c>
      <c r="Q89" s="2" t="s">
        <v>72</v>
      </c>
      <c r="R89" s="2" t="s">
        <v>73</v>
      </c>
      <c r="S89" s="2" t="s">
        <v>653</v>
      </c>
      <c r="T89" s="2" t="s">
        <v>725</v>
      </c>
      <c r="U89" s="2" t="s">
        <v>75</v>
      </c>
      <c r="V89" s="2" t="s">
        <v>725</v>
      </c>
      <c r="W89" s="2" t="s">
        <v>726</v>
      </c>
      <c r="X89" s="2" t="s">
        <v>75</v>
      </c>
      <c r="Y89" s="2" t="s">
        <v>726</v>
      </c>
      <c r="Z89" s="2" t="s">
        <v>76</v>
      </c>
      <c r="AA89" s="2" t="s">
        <v>755</v>
      </c>
      <c r="AB89" s="2" t="s">
        <v>75</v>
      </c>
      <c r="AC89" s="2" t="s">
        <v>75</v>
      </c>
      <c r="AD89" s="2" t="s">
        <v>75</v>
      </c>
      <c r="AE89" s="2" t="s">
        <v>75</v>
      </c>
      <c r="AF89" s="2" t="s">
        <v>75</v>
      </c>
      <c r="AG89" s="2" t="s">
        <v>75</v>
      </c>
      <c r="AH89" s="2" t="s">
        <v>75</v>
      </c>
      <c r="AI89" s="2" t="s">
        <v>75</v>
      </c>
      <c r="AJ89" s="2" t="s">
        <v>75</v>
      </c>
      <c r="AK89" s="2" t="s">
        <v>75</v>
      </c>
      <c r="AL89" s="2" t="s">
        <v>75</v>
      </c>
      <c r="AM89" s="2" t="s">
        <v>75</v>
      </c>
      <c r="AN89" s="2" t="s">
        <v>75</v>
      </c>
      <c r="AO89" s="2" t="s">
        <v>75</v>
      </c>
      <c r="AP89" s="2" t="s">
        <v>75</v>
      </c>
      <c r="AQ89" s="2" t="s">
        <v>75</v>
      </c>
      <c r="AR89" s="2" t="s">
        <v>75</v>
      </c>
      <c r="AS89" s="2" t="s">
        <v>75</v>
      </c>
      <c r="AT89" s="2" t="s">
        <v>75</v>
      </c>
      <c r="AU89" s="2" t="s">
        <v>789</v>
      </c>
      <c r="AV89" s="2" t="s">
        <v>747</v>
      </c>
      <c r="AW89" s="2" t="s">
        <v>755</v>
      </c>
      <c r="AX89" s="2" t="s">
        <v>728</v>
      </c>
      <c r="AY89" s="2" t="s">
        <v>117</v>
      </c>
      <c r="AZ89" s="2" t="s">
        <v>728</v>
      </c>
      <c r="BA89" t="s">
        <v>1417</v>
      </c>
      <c r="BB89" s="13" t="str">
        <f t="shared" si="5"/>
        <v xml:space="preserve"> Kolhapur</v>
      </c>
      <c r="BC89" s="2" t="s">
        <v>117</v>
      </c>
      <c r="BD89" s="2" t="s">
        <v>659</v>
      </c>
      <c r="BE89" s="2" t="s">
        <v>81</v>
      </c>
      <c r="BF89" s="2" t="s">
        <v>82</v>
      </c>
      <c r="BG89" s="2" t="s">
        <v>729</v>
      </c>
      <c r="BH89" s="2" t="s">
        <v>73</v>
      </c>
      <c r="BI89" s="2" t="s">
        <v>73</v>
      </c>
      <c r="BJ89" s="2" t="s">
        <v>73</v>
      </c>
      <c r="BK89" s="2" t="s">
        <v>661</v>
      </c>
      <c r="BL89" s="2" t="s">
        <v>73</v>
      </c>
      <c r="BM89" s="12">
        <v>90</v>
      </c>
    </row>
    <row r="90" spans="1:65">
      <c r="A90" s="2" t="s">
        <v>60</v>
      </c>
      <c r="B90" s="2" t="s">
        <v>723</v>
      </c>
      <c r="C90" s="2" t="s">
        <v>724</v>
      </c>
      <c r="D90" s="2" t="s">
        <v>649</v>
      </c>
      <c r="E90" s="2" t="s">
        <v>650</v>
      </c>
      <c r="F90" s="2" t="s">
        <v>651</v>
      </c>
      <c r="G90" t="str">
        <f t="shared" si="3"/>
        <v>DOGLAPAN02</v>
      </c>
      <c r="H90" s="2" t="s">
        <v>66</v>
      </c>
      <c r="I90" s="2" t="s">
        <v>138</v>
      </c>
      <c r="J90" s="2" t="s">
        <v>138</v>
      </c>
      <c r="K90" s="2" t="s">
        <v>68</v>
      </c>
      <c r="L90" s="2" t="s">
        <v>69</v>
      </c>
      <c r="M90" s="2" t="s">
        <v>700</v>
      </c>
      <c r="N90" t="str">
        <f t="shared" si="4"/>
        <v>August</v>
      </c>
      <c r="O90" s="2" t="s">
        <v>700</v>
      </c>
      <c r="P90" s="2" t="s">
        <v>71</v>
      </c>
      <c r="Q90" s="2" t="s">
        <v>72</v>
      </c>
      <c r="R90" s="2" t="s">
        <v>73</v>
      </c>
      <c r="S90" s="2" t="s">
        <v>653</v>
      </c>
      <c r="T90" s="2" t="s">
        <v>725</v>
      </c>
      <c r="U90" s="2" t="s">
        <v>75</v>
      </c>
      <c r="V90" s="2" t="s">
        <v>725</v>
      </c>
      <c r="W90" s="2" t="s">
        <v>726</v>
      </c>
      <c r="X90" s="2" t="s">
        <v>75</v>
      </c>
      <c r="Y90" s="2" t="s">
        <v>726</v>
      </c>
      <c r="Z90" s="2" t="s">
        <v>76</v>
      </c>
      <c r="AA90" s="2" t="s">
        <v>726</v>
      </c>
      <c r="AB90" s="2" t="s">
        <v>75</v>
      </c>
      <c r="AC90" s="2" t="s">
        <v>75</v>
      </c>
      <c r="AD90" s="2" t="s">
        <v>75</v>
      </c>
      <c r="AE90" s="2" t="s">
        <v>75</v>
      </c>
      <c r="AF90" s="2" t="s">
        <v>75</v>
      </c>
      <c r="AG90" s="2" t="s">
        <v>75</v>
      </c>
      <c r="AH90" s="2" t="s">
        <v>75</v>
      </c>
      <c r="AI90" s="2" t="s">
        <v>75</v>
      </c>
      <c r="AJ90" s="2" t="s">
        <v>75</v>
      </c>
      <c r="AK90" s="2" t="s">
        <v>75</v>
      </c>
      <c r="AL90" s="2" t="s">
        <v>75</v>
      </c>
      <c r="AM90" s="2" t="s">
        <v>75</v>
      </c>
      <c r="AN90" s="2" t="s">
        <v>75</v>
      </c>
      <c r="AO90" s="2" t="s">
        <v>75</v>
      </c>
      <c r="AP90" s="2" t="s">
        <v>75</v>
      </c>
      <c r="AQ90" s="2" t="s">
        <v>75</v>
      </c>
      <c r="AR90" s="2" t="s">
        <v>75</v>
      </c>
      <c r="AS90" s="2" t="s">
        <v>75</v>
      </c>
      <c r="AT90" s="2" t="s">
        <v>75</v>
      </c>
      <c r="AU90" s="2" t="s">
        <v>790</v>
      </c>
      <c r="AV90" s="2" t="s">
        <v>747</v>
      </c>
      <c r="AW90" s="2" t="s">
        <v>726</v>
      </c>
      <c r="AX90" s="2" t="s">
        <v>728</v>
      </c>
      <c r="AY90" s="2" t="s">
        <v>117</v>
      </c>
      <c r="AZ90" s="2" t="s">
        <v>728</v>
      </c>
      <c r="BA90" t="s">
        <v>1417</v>
      </c>
      <c r="BB90" s="13" t="str">
        <f t="shared" si="5"/>
        <v xml:space="preserve"> Kolhapur</v>
      </c>
      <c r="BC90" s="2" t="s">
        <v>117</v>
      </c>
      <c r="BD90" s="2" t="s">
        <v>659</v>
      </c>
      <c r="BE90" s="2" t="s">
        <v>81</v>
      </c>
      <c r="BF90" s="2" t="s">
        <v>82</v>
      </c>
      <c r="BG90" s="2" t="s">
        <v>729</v>
      </c>
      <c r="BH90" s="2" t="s">
        <v>73</v>
      </c>
      <c r="BI90" s="2" t="s">
        <v>73</v>
      </c>
      <c r="BJ90" s="2" t="s">
        <v>73</v>
      </c>
      <c r="BK90" s="2" t="s">
        <v>661</v>
      </c>
      <c r="BL90" s="2" t="s">
        <v>73</v>
      </c>
      <c r="BM90" s="12">
        <v>76</v>
      </c>
    </row>
    <row r="91" spans="1:65">
      <c r="A91" s="2" t="s">
        <v>60</v>
      </c>
      <c r="B91" s="2" t="s">
        <v>791</v>
      </c>
      <c r="C91" s="2" t="s">
        <v>792</v>
      </c>
      <c r="D91" s="2" t="s">
        <v>793</v>
      </c>
      <c r="E91" s="2" t="s">
        <v>794</v>
      </c>
      <c r="F91" s="2" t="s">
        <v>795</v>
      </c>
      <c r="G91" t="str">
        <f t="shared" si="3"/>
        <v>THE-MAGIC-IKIGAI</v>
      </c>
      <c r="H91" s="2" t="s">
        <v>66</v>
      </c>
      <c r="I91" s="2" t="s">
        <v>67</v>
      </c>
      <c r="J91" s="2" t="s">
        <v>67</v>
      </c>
      <c r="K91" s="2" t="s">
        <v>68</v>
      </c>
      <c r="L91" s="2" t="s">
        <v>69</v>
      </c>
      <c r="M91" s="2" t="s">
        <v>796</v>
      </c>
      <c r="N91" t="str">
        <f t="shared" si="4"/>
        <v>August</v>
      </c>
      <c r="O91" s="2" t="s">
        <v>796</v>
      </c>
      <c r="P91" s="2" t="s">
        <v>71</v>
      </c>
      <c r="Q91" s="2" t="s">
        <v>72</v>
      </c>
      <c r="R91" s="2" t="s">
        <v>73</v>
      </c>
      <c r="S91" s="2" t="s">
        <v>628</v>
      </c>
      <c r="T91" s="2" t="s">
        <v>75</v>
      </c>
      <c r="U91" s="2" t="s">
        <v>75</v>
      </c>
      <c r="V91" s="2" t="s">
        <v>75</v>
      </c>
      <c r="W91" s="2" t="s">
        <v>628</v>
      </c>
      <c r="X91" s="2" t="s">
        <v>75</v>
      </c>
      <c r="Y91" s="2" t="s">
        <v>628</v>
      </c>
      <c r="Z91" s="2" t="s">
        <v>76</v>
      </c>
      <c r="AA91" s="2" t="s">
        <v>628</v>
      </c>
      <c r="AB91" s="2" t="s">
        <v>75</v>
      </c>
      <c r="AC91" s="2" t="s">
        <v>75</v>
      </c>
      <c r="AD91" s="2" t="s">
        <v>75</v>
      </c>
      <c r="AE91" s="2" t="s">
        <v>75</v>
      </c>
      <c r="AF91" s="2" t="s">
        <v>75</v>
      </c>
      <c r="AG91" s="2" t="s">
        <v>75</v>
      </c>
      <c r="AH91" s="2" t="s">
        <v>75</v>
      </c>
      <c r="AI91" s="2" t="s">
        <v>75</v>
      </c>
      <c r="AJ91" s="2" t="s">
        <v>75</v>
      </c>
      <c r="AK91" s="2" t="s">
        <v>75</v>
      </c>
      <c r="AL91" s="2" t="s">
        <v>75</v>
      </c>
      <c r="AM91" s="2" t="s">
        <v>75</v>
      </c>
      <c r="AN91" s="2" t="s">
        <v>75</v>
      </c>
      <c r="AO91" s="2" t="s">
        <v>75</v>
      </c>
      <c r="AP91" s="2" t="s">
        <v>75</v>
      </c>
      <c r="AQ91" s="2" t="s">
        <v>75</v>
      </c>
      <c r="AR91" s="2" t="s">
        <v>75</v>
      </c>
      <c r="AS91" s="2" t="s">
        <v>75</v>
      </c>
      <c r="AT91" s="2" t="s">
        <v>75</v>
      </c>
      <c r="AU91" s="2" t="s">
        <v>797</v>
      </c>
      <c r="AV91" s="2" t="s">
        <v>798</v>
      </c>
      <c r="AW91" s="2" t="s">
        <v>628</v>
      </c>
      <c r="AX91" s="2" t="s">
        <v>799</v>
      </c>
      <c r="AY91" s="2" t="s">
        <v>224</v>
      </c>
      <c r="AZ91" s="2" t="s">
        <v>799</v>
      </c>
      <c r="BA91" s="7" t="s">
        <v>1363</v>
      </c>
      <c r="BB91" s="13" t="str">
        <f t="shared" si="5"/>
        <v xml:space="preserve"> Kolkata</v>
      </c>
      <c r="BC91" s="2" t="s">
        <v>224</v>
      </c>
      <c r="BD91" s="2" t="s">
        <v>73</v>
      </c>
      <c r="BE91" s="2" t="s">
        <v>81</v>
      </c>
      <c r="BF91" s="2" t="s">
        <v>82</v>
      </c>
      <c r="BG91" s="2" t="s">
        <v>800</v>
      </c>
      <c r="BH91" s="2" t="s">
        <v>73</v>
      </c>
      <c r="BI91" s="2" t="s">
        <v>73</v>
      </c>
      <c r="BJ91" s="2" t="s">
        <v>73</v>
      </c>
      <c r="BK91" s="2" t="s">
        <v>801</v>
      </c>
      <c r="BL91" s="2" t="s">
        <v>73</v>
      </c>
      <c r="BM91" s="12">
        <v>81</v>
      </c>
    </row>
    <row r="92" spans="1:65">
      <c r="A92" s="2" t="s">
        <v>60</v>
      </c>
      <c r="B92" s="2" t="s">
        <v>802</v>
      </c>
      <c r="C92" s="2" t="s">
        <v>803</v>
      </c>
      <c r="D92" s="2" t="s">
        <v>87</v>
      </c>
      <c r="E92" s="2" t="s">
        <v>88</v>
      </c>
      <c r="F92" s="2" t="s">
        <v>89</v>
      </c>
      <c r="G92" t="str">
        <f t="shared" si="3"/>
        <v>ALCHEMIST01</v>
      </c>
      <c r="H92" s="2" t="s">
        <v>66</v>
      </c>
      <c r="I92" s="2" t="s">
        <v>67</v>
      </c>
      <c r="J92" s="2" t="s">
        <v>67</v>
      </c>
      <c r="K92" s="2" t="s">
        <v>68</v>
      </c>
      <c r="L92" s="2" t="s">
        <v>69</v>
      </c>
      <c r="M92" s="2" t="s">
        <v>796</v>
      </c>
      <c r="N92" t="str">
        <f t="shared" si="4"/>
        <v>August</v>
      </c>
      <c r="O92" s="2" t="s">
        <v>796</v>
      </c>
      <c r="P92" s="2" t="s">
        <v>71</v>
      </c>
      <c r="Q92" s="2" t="s">
        <v>72</v>
      </c>
      <c r="R92" s="2" t="s">
        <v>73</v>
      </c>
      <c r="S92" s="2" t="s">
        <v>142</v>
      </c>
      <c r="T92" s="2" t="s">
        <v>75</v>
      </c>
      <c r="U92" s="2" t="s">
        <v>75</v>
      </c>
      <c r="V92" s="2" t="s">
        <v>75</v>
      </c>
      <c r="W92" s="2" t="s">
        <v>142</v>
      </c>
      <c r="X92" s="2" t="s">
        <v>75</v>
      </c>
      <c r="Y92" s="2" t="s">
        <v>142</v>
      </c>
      <c r="Z92" s="2" t="s">
        <v>76</v>
      </c>
      <c r="AA92" s="2" t="s">
        <v>142</v>
      </c>
      <c r="AB92" s="2" t="s">
        <v>75</v>
      </c>
      <c r="AC92" s="2" t="s">
        <v>75</v>
      </c>
      <c r="AD92" s="2" t="s">
        <v>75</v>
      </c>
      <c r="AE92" s="2" t="s">
        <v>75</v>
      </c>
      <c r="AF92" s="2" t="s">
        <v>75</v>
      </c>
      <c r="AG92" s="2" t="s">
        <v>75</v>
      </c>
      <c r="AH92" s="2" t="s">
        <v>75</v>
      </c>
      <c r="AI92" s="2" t="s">
        <v>75</v>
      </c>
      <c r="AJ92" s="2" t="s">
        <v>75</v>
      </c>
      <c r="AK92" s="2" t="s">
        <v>75</v>
      </c>
      <c r="AL92" s="2" t="s">
        <v>75</v>
      </c>
      <c r="AM92" s="2" t="s">
        <v>75</v>
      </c>
      <c r="AN92" s="2" t="s">
        <v>75</v>
      </c>
      <c r="AO92" s="2" t="s">
        <v>75</v>
      </c>
      <c r="AP92" s="2" t="s">
        <v>75</v>
      </c>
      <c r="AQ92" s="2" t="s">
        <v>75</v>
      </c>
      <c r="AR92" s="2" t="s">
        <v>75</v>
      </c>
      <c r="AS92" s="2" t="s">
        <v>75</v>
      </c>
      <c r="AT92" s="2" t="s">
        <v>75</v>
      </c>
      <c r="AU92" s="2" t="s">
        <v>804</v>
      </c>
      <c r="AV92" s="2" t="s">
        <v>798</v>
      </c>
      <c r="AW92" s="2" t="s">
        <v>142</v>
      </c>
      <c r="AX92" s="2" t="s">
        <v>805</v>
      </c>
      <c r="AY92" s="2" t="s">
        <v>80</v>
      </c>
      <c r="AZ92" s="2" t="s">
        <v>805</v>
      </c>
      <c r="BA92" s="7" t="s">
        <v>1364</v>
      </c>
      <c r="BB92" s="13" t="str">
        <f t="shared" si="5"/>
        <v xml:space="preserve"> Bengaluru</v>
      </c>
      <c r="BC92" s="2" t="s">
        <v>80</v>
      </c>
      <c r="BD92" s="2" t="s">
        <v>73</v>
      </c>
      <c r="BE92" s="2" t="s">
        <v>81</v>
      </c>
      <c r="BF92" s="2" t="s">
        <v>82</v>
      </c>
      <c r="BG92" s="2" t="s">
        <v>148</v>
      </c>
      <c r="BH92" s="2" t="s">
        <v>73</v>
      </c>
      <c r="BI92" s="2" t="s">
        <v>73</v>
      </c>
      <c r="BJ92" s="2" t="s">
        <v>73</v>
      </c>
      <c r="BK92" s="2" t="s">
        <v>806</v>
      </c>
      <c r="BL92" s="2" t="s">
        <v>73</v>
      </c>
      <c r="BM92" s="12">
        <v>79</v>
      </c>
    </row>
    <row r="93" spans="1:65">
      <c r="A93" s="2" t="s">
        <v>60</v>
      </c>
      <c r="B93" s="2" t="s">
        <v>670</v>
      </c>
      <c r="C93" s="2" t="s">
        <v>671</v>
      </c>
      <c r="D93" s="2" t="s">
        <v>437</v>
      </c>
      <c r="E93" s="2" t="s">
        <v>438</v>
      </c>
      <c r="F93" s="2" t="s">
        <v>439</v>
      </c>
      <c r="G93" t="str">
        <f t="shared" si="3"/>
        <v>RICH-DAD-HINDI03</v>
      </c>
      <c r="H93" s="2" t="s">
        <v>66</v>
      </c>
      <c r="I93" s="2" t="s">
        <v>67</v>
      </c>
      <c r="J93" s="2" t="s">
        <v>67</v>
      </c>
      <c r="K93" s="2" t="s">
        <v>140</v>
      </c>
      <c r="L93" s="2" t="s">
        <v>69</v>
      </c>
      <c r="M93" s="2" t="s">
        <v>672</v>
      </c>
      <c r="N93" t="str">
        <f t="shared" si="4"/>
        <v>August</v>
      </c>
      <c r="O93" s="2" t="s">
        <v>672</v>
      </c>
      <c r="P93" s="2" t="s">
        <v>71</v>
      </c>
      <c r="Q93" s="2" t="s">
        <v>72</v>
      </c>
      <c r="R93" s="2" t="s">
        <v>73</v>
      </c>
      <c r="S93" s="2" t="s">
        <v>673</v>
      </c>
      <c r="T93" s="2" t="s">
        <v>674</v>
      </c>
      <c r="U93" s="2" t="s">
        <v>75</v>
      </c>
      <c r="V93" s="2" t="s">
        <v>674</v>
      </c>
      <c r="W93" s="2" t="s">
        <v>383</v>
      </c>
      <c r="X93" s="2" t="s">
        <v>75</v>
      </c>
      <c r="Y93" s="2" t="s">
        <v>383</v>
      </c>
      <c r="Z93" s="2" t="s">
        <v>76</v>
      </c>
      <c r="AA93" s="2" t="s">
        <v>383</v>
      </c>
      <c r="AB93" s="2" t="s">
        <v>75</v>
      </c>
      <c r="AC93" s="2" t="s">
        <v>75</v>
      </c>
      <c r="AD93" s="2" t="s">
        <v>75</v>
      </c>
      <c r="AE93" s="2" t="s">
        <v>75</v>
      </c>
      <c r="AF93" s="2" t="s">
        <v>75</v>
      </c>
      <c r="AG93" s="2" t="s">
        <v>75</v>
      </c>
      <c r="AH93" s="2" t="s">
        <v>75</v>
      </c>
      <c r="AI93" s="2" t="s">
        <v>75</v>
      </c>
      <c r="AJ93" s="2" t="s">
        <v>75</v>
      </c>
      <c r="AK93" s="2" t="s">
        <v>75</v>
      </c>
      <c r="AL93" s="2" t="s">
        <v>75</v>
      </c>
      <c r="AM93" s="2" t="s">
        <v>75</v>
      </c>
      <c r="AN93" s="2" t="s">
        <v>75</v>
      </c>
      <c r="AO93" s="2" t="s">
        <v>75</v>
      </c>
      <c r="AP93" s="2" t="s">
        <v>75</v>
      </c>
      <c r="AQ93" s="2" t="s">
        <v>75</v>
      </c>
      <c r="AR93" s="2" t="s">
        <v>75</v>
      </c>
      <c r="AS93" s="2" t="s">
        <v>75</v>
      </c>
      <c r="AT93" s="2" t="s">
        <v>75</v>
      </c>
      <c r="AU93" s="2" t="s">
        <v>807</v>
      </c>
      <c r="AV93" s="2" t="s">
        <v>763</v>
      </c>
      <c r="AW93" s="2" t="s">
        <v>383</v>
      </c>
      <c r="AX93" s="2" t="s">
        <v>677</v>
      </c>
      <c r="AY93" s="2" t="s">
        <v>563</v>
      </c>
      <c r="AZ93" s="2" t="s">
        <v>677</v>
      </c>
      <c r="BA93" s="11" t="s">
        <v>1428</v>
      </c>
      <c r="BB93" s="13" t="str">
        <f t="shared" si="5"/>
        <v xml:space="preserve"> Bihar Sharif</v>
      </c>
      <c r="BC93" s="2" t="s">
        <v>563</v>
      </c>
      <c r="BD93" s="2" t="s">
        <v>653</v>
      </c>
      <c r="BE93" s="2" t="s">
        <v>81</v>
      </c>
      <c r="BF93" s="2" t="s">
        <v>82</v>
      </c>
      <c r="BG93" s="2" t="s">
        <v>386</v>
      </c>
      <c r="BH93" s="2" t="s">
        <v>73</v>
      </c>
      <c r="BI93" s="2" t="s">
        <v>73</v>
      </c>
      <c r="BJ93" s="2" t="s">
        <v>73</v>
      </c>
      <c r="BK93" s="2" t="s">
        <v>678</v>
      </c>
      <c r="BL93" s="2" t="s">
        <v>73</v>
      </c>
      <c r="BM93" s="12">
        <v>88</v>
      </c>
    </row>
    <row r="94" spans="1:65">
      <c r="A94" s="2" t="s">
        <v>60</v>
      </c>
      <c r="B94" s="2" t="s">
        <v>808</v>
      </c>
      <c r="C94" s="2" t="s">
        <v>809</v>
      </c>
      <c r="D94" s="2" t="s">
        <v>810</v>
      </c>
      <c r="E94" s="2" t="s">
        <v>811</v>
      </c>
      <c r="F94" s="2" t="s">
        <v>812</v>
      </c>
      <c r="G94" t="str">
        <f t="shared" si="3"/>
        <v>DO-EPIC-SHIT01</v>
      </c>
      <c r="H94" s="2" t="s">
        <v>66</v>
      </c>
      <c r="I94" s="2" t="s">
        <v>67</v>
      </c>
      <c r="J94" s="2" t="s">
        <v>67</v>
      </c>
      <c r="K94" s="2" t="s">
        <v>68</v>
      </c>
      <c r="L94" s="2" t="s">
        <v>69</v>
      </c>
      <c r="M94" s="2" t="s">
        <v>743</v>
      </c>
      <c r="N94" t="str">
        <f t="shared" si="4"/>
        <v>August</v>
      </c>
      <c r="O94" s="2" t="s">
        <v>743</v>
      </c>
      <c r="P94" s="2" t="s">
        <v>71</v>
      </c>
      <c r="Q94" s="2" t="s">
        <v>72</v>
      </c>
      <c r="R94" s="2" t="s">
        <v>73</v>
      </c>
      <c r="S94" s="2" t="s">
        <v>653</v>
      </c>
      <c r="T94" s="2" t="s">
        <v>75</v>
      </c>
      <c r="U94" s="2" t="s">
        <v>75</v>
      </c>
      <c r="V94" s="2" t="s">
        <v>75</v>
      </c>
      <c r="W94" s="2" t="s">
        <v>653</v>
      </c>
      <c r="X94" s="2" t="s">
        <v>75</v>
      </c>
      <c r="Y94" s="2" t="s">
        <v>653</v>
      </c>
      <c r="Z94" s="2" t="s">
        <v>76</v>
      </c>
      <c r="AA94" s="2" t="s">
        <v>653</v>
      </c>
      <c r="AB94" s="2" t="s">
        <v>75</v>
      </c>
      <c r="AC94" s="2" t="s">
        <v>75</v>
      </c>
      <c r="AD94" s="2" t="s">
        <v>75</v>
      </c>
      <c r="AE94" s="2" t="s">
        <v>75</v>
      </c>
      <c r="AF94" s="2" t="s">
        <v>75</v>
      </c>
      <c r="AG94" s="2" t="s">
        <v>75</v>
      </c>
      <c r="AH94" s="2" t="s">
        <v>75</v>
      </c>
      <c r="AI94" s="2" t="s">
        <v>75</v>
      </c>
      <c r="AJ94" s="2" t="s">
        <v>75</v>
      </c>
      <c r="AK94" s="2" t="s">
        <v>75</v>
      </c>
      <c r="AL94" s="2" t="s">
        <v>75</v>
      </c>
      <c r="AM94" s="2" t="s">
        <v>75</v>
      </c>
      <c r="AN94" s="2" t="s">
        <v>75</v>
      </c>
      <c r="AO94" s="2" t="s">
        <v>75</v>
      </c>
      <c r="AP94" s="2" t="s">
        <v>75</v>
      </c>
      <c r="AQ94" s="2" t="s">
        <v>75</v>
      </c>
      <c r="AR94" s="2" t="s">
        <v>75</v>
      </c>
      <c r="AS94" s="2" t="s">
        <v>75</v>
      </c>
      <c r="AT94" s="2" t="s">
        <v>75</v>
      </c>
      <c r="AU94" s="2" t="s">
        <v>813</v>
      </c>
      <c r="AV94" s="2" t="s">
        <v>747</v>
      </c>
      <c r="AW94" s="2" t="s">
        <v>653</v>
      </c>
      <c r="AX94" s="2" t="s">
        <v>814</v>
      </c>
      <c r="AY94" s="2" t="s">
        <v>592</v>
      </c>
      <c r="AZ94" s="2" t="s">
        <v>814</v>
      </c>
      <c r="BA94" s="7" t="s">
        <v>1365</v>
      </c>
      <c r="BB94" s="13" t="str">
        <f t="shared" si="5"/>
        <v xml:space="preserve"> New Delhi</v>
      </c>
      <c r="BC94" s="2" t="s">
        <v>592</v>
      </c>
      <c r="BD94" s="2" t="s">
        <v>815</v>
      </c>
      <c r="BE94" s="2" t="s">
        <v>81</v>
      </c>
      <c r="BF94" s="2" t="s">
        <v>82</v>
      </c>
      <c r="BG94" s="2" t="s">
        <v>816</v>
      </c>
      <c r="BH94" s="2" t="s">
        <v>73</v>
      </c>
      <c r="BI94" s="2" t="s">
        <v>73</v>
      </c>
      <c r="BJ94" s="2" t="s">
        <v>73</v>
      </c>
      <c r="BK94" s="2" t="s">
        <v>817</v>
      </c>
      <c r="BL94" s="2" t="s">
        <v>73</v>
      </c>
      <c r="BM94" s="12">
        <v>75</v>
      </c>
    </row>
    <row r="95" spans="1:65">
      <c r="A95" s="2" t="s">
        <v>60</v>
      </c>
      <c r="B95" s="2" t="s">
        <v>818</v>
      </c>
      <c r="C95" s="2" t="s">
        <v>819</v>
      </c>
      <c r="D95" s="2" t="s">
        <v>820</v>
      </c>
      <c r="E95" s="2" t="s">
        <v>821</v>
      </c>
      <c r="F95" s="2" t="s">
        <v>822</v>
      </c>
      <c r="G95" t="str">
        <f t="shared" si="3"/>
        <v>THE-MAGIC01</v>
      </c>
      <c r="H95" s="2" t="s">
        <v>66</v>
      </c>
      <c r="I95" s="2" t="s">
        <v>67</v>
      </c>
      <c r="J95" s="2" t="s">
        <v>67</v>
      </c>
      <c r="K95" s="2" t="s">
        <v>140</v>
      </c>
      <c r="L95" s="2" t="s">
        <v>69</v>
      </c>
      <c r="M95" s="2" t="s">
        <v>823</v>
      </c>
      <c r="N95" t="str">
        <f t="shared" si="4"/>
        <v>August</v>
      </c>
      <c r="O95" s="2" t="s">
        <v>823</v>
      </c>
      <c r="P95" s="2" t="s">
        <v>71</v>
      </c>
      <c r="Q95" s="2" t="s">
        <v>72</v>
      </c>
      <c r="R95" s="2" t="s">
        <v>73</v>
      </c>
      <c r="S95" s="2" t="s">
        <v>824</v>
      </c>
      <c r="T95" s="2" t="s">
        <v>75</v>
      </c>
      <c r="U95" s="2" t="s">
        <v>75</v>
      </c>
      <c r="V95" s="2" t="s">
        <v>75</v>
      </c>
      <c r="W95" s="2" t="s">
        <v>824</v>
      </c>
      <c r="X95" s="2" t="s">
        <v>75</v>
      </c>
      <c r="Y95" s="2" t="s">
        <v>824</v>
      </c>
      <c r="Z95" s="2" t="s">
        <v>76</v>
      </c>
      <c r="AA95" s="2" t="s">
        <v>824</v>
      </c>
      <c r="AB95" s="2" t="s">
        <v>75</v>
      </c>
      <c r="AC95" s="2" t="s">
        <v>75</v>
      </c>
      <c r="AD95" s="2" t="s">
        <v>75</v>
      </c>
      <c r="AE95" s="2" t="s">
        <v>75</v>
      </c>
      <c r="AF95" s="2" t="s">
        <v>75</v>
      </c>
      <c r="AG95" s="2" t="s">
        <v>75</v>
      </c>
      <c r="AH95" s="2" t="s">
        <v>75</v>
      </c>
      <c r="AI95" s="2" t="s">
        <v>75</v>
      </c>
      <c r="AJ95" s="2" t="s">
        <v>75</v>
      </c>
      <c r="AK95" s="2" t="s">
        <v>75</v>
      </c>
      <c r="AL95" s="2" t="s">
        <v>75</v>
      </c>
      <c r="AM95" s="2" t="s">
        <v>75</v>
      </c>
      <c r="AN95" s="2" t="s">
        <v>75</v>
      </c>
      <c r="AO95" s="2" t="s">
        <v>75</v>
      </c>
      <c r="AP95" s="2" t="s">
        <v>75</v>
      </c>
      <c r="AQ95" s="2" t="s">
        <v>75</v>
      </c>
      <c r="AR95" s="2" t="s">
        <v>75</v>
      </c>
      <c r="AS95" s="2" t="s">
        <v>75</v>
      </c>
      <c r="AT95" s="2" t="s">
        <v>75</v>
      </c>
      <c r="AU95" s="2" t="s">
        <v>825</v>
      </c>
      <c r="AV95" s="2" t="s">
        <v>826</v>
      </c>
      <c r="AW95" s="2" t="s">
        <v>824</v>
      </c>
      <c r="AX95" s="2" t="s">
        <v>827</v>
      </c>
      <c r="AY95" s="2" t="s">
        <v>117</v>
      </c>
      <c r="AZ95" s="2" t="s">
        <v>827</v>
      </c>
      <c r="BA95" s="7" t="s">
        <v>1366</v>
      </c>
      <c r="BB95" s="13" t="str">
        <f t="shared" si="5"/>
        <v xml:space="preserve"> Nashik</v>
      </c>
      <c r="BC95" s="2" t="s">
        <v>117</v>
      </c>
      <c r="BD95" s="2" t="s">
        <v>828</v>
      </c>
      <c r="BE95" s="2" t="s">
        <v>81</v>
      </c>
      <c r="BF95" s="2" t="s">
        <v>82</v>
      </c>
      <c r="BG95" s="2" t="s">
        <v>829</v>
      </c>
      <c r="BH95" s="2" t="s">
        <v>73</v>
      </c>
      <c r="BI95" s="2" t="s">
        <v>73</v>
      </c>
      <c r="BJ95" s="2" t="s">
        <v>73</v>
      </c>
      <c r="BK95" s="2" t="s">
        <v>830</v>
      </c>
      <c r="BL95" s="2" t="s">
        <v>73</v>
      </c>
      <c r="BM95" s="12">
        <v>83</v>
      </c>
    </row>
    <row r="96" spans="1:65">
      <c r="A96" s="2" t="s">
        <v>60</v>
      </c>
      <c r="B96" s="2" t="s">
        <v>647</v>
      </c>
      <c r="C96" s="2" t="s">
        <v>648</v>
      </c>
      <c r="D96" s="2" t="s">
        <v>649</v>
      </c>
      <c r="E96" s="2" t="s">
        <v>650</v>
      </c>
      <c r="F96" s="2" t="s">
        <v>651</v>
      </c>
      <c r="G96" t="str">
        <f t="shared" si="3"/>
        <v>DOGLAPAN02</v>
      </c>
      <c r="H96" s="2" t="s">
        <v>66</v>
      </c>
      <c r="I96" s="2" t="s">
        <v>138</v>
      </c>
      <c r="J96" s="2" t="s">
        <v>138</v>
      </c>
      <c r="K96" s="2" t="s">
        <v>68</v>
      </c>
      <c r="L96" s="2" t="s">
        <v>69</v>
      </c>
      <c r="M96" s="2" t="s">
        <v>652</v>
      </c>
      <c r="N96" t="str">
        <f t="shared" si="4"/>
        <v>August</v>
      </c>
      <c r="O96" s="2" t="s">
        <v>652</v>
      </c>
      <c r="P96" s="2" t="s">
        <v>71</v>
      </c>
      <c r="Q96" s="2" t="s">
        <v>72</v>
      </c>
      <c r="R96" s="2" t="s">
        <v>73</v>
      </c>
      <c r="S96" s="2" t="s">
        <v>653</v>
      </c>
      <c r="T96" s="2" t="s">
        <v>654</v>
      </c>
      <c r="U96" s="2" t="s">
        <v>75</v>
      </c>
      <c r="V96" s="2" t="s">
        <v>654</v>
      </c>
      <c r="W96" s="2" t="s">
        <v>655</v>
      </c>
      <c r="X96" s="2" t="s">
        <v>75</v>
      </c>
      <c r="Y96" s="2" t="s">
        <v>655</v>
      </c>
      <c r="Z96" s="2" t="s">
        <v>76</v>
      </c>
      <c r="AA96" s="2" t="s">
        <v>831</v>
      </c>
      <c r="AB96" s="2" t="s">
        <v>75</v>
      </c>
      <c r="AC96" s="2" t="s">
        <v>75</v>
      </c>
      <c r="AD96" s="2" t="s">
        <v>75</v>
      </c>
      <c r="AE96" s="2" t="s">
        <v>75</v>
      </c>
      <c r="AF96" s="2" t="s">
        <v>75</v>
      </c>
      <c r="AG96" s="2" t="s">
        <v>75</v>
      </c>
      <c r="AH96" s="2" t="s">
        <v>75</v>
      </c>
      <c r="AI96" s="2" t="s">
        <v>75</v>
      </c>
      <c r="AJ96" s="2" t="s">
        <v>75</v>
      </c>
      <c r="AK96" s="2" t="s">
        <v>75</v>
      </c>
      <c r="AL96" s="2" t="s">
        <v>75</v>
      </c>
      <c r="AM96" s="2" t="s">
        <v>75</v>
      </c>
      <c r="AN96" s="2" t="s">
        <v>75</v>
      </c>
      <c r="AO96" s="2" t="s">
        <v>75</v>
      </c>
      <c r="AP96" s="2" t="s">
        <v>75</v>
      </c>
      <c r="AQ96" s="2" t="s">
        <v>75</v>
      </c>
      <c r="AR96" s="2" t="s">
        <v>75</v>
      </c>
      <c r="AS96" s="2" t="s">
        <v>75</v>
      </c>
      <c r="AT96" s="2" t="s">
        <v>75</v>
      </c>
      <c r="AU96" s="2" t="s">
        <v>832</v>
      </c>
      <c r="AV96" s="2" t="s">
        <v>833</v>
      </c>
      <c r="AW96" s="2" t="s">
        <v>831</v>
      </c>
      <c r="AX96" s="2" t="s">
        <v>658</v>
      </c>
      <c r="AY96" s="2" t="s">
        <v>117</v>
      </c>
      <c r="AZ96" s="2" t="s">
        <v>658</v>
      </c>
      <c r="BA96" t="s">
        <v>1423</v>
      </c>
      <c r="BB96" s="13" t="str">
        <f t="shared" si="5"/>
        <v xml:space="preserve"> Mumbai</v>
      </c>
      <c r="BC96" s="2" t="s">
        <v>117</v>
      </c>
      <c r="BD96" s="2" t="s">
        <v>659</v>
      </c>
      <c r="BE96" s="2" t="s">
        <v>81</v>
      </c>
      <c r="BF96" s="2" t="s">
        <v>82</v>
      </c>
      <c r="BG96" s="2" t="s">
        <v>660</v>
      </c>
      <c r="BH96" s="2" t="s">
        <v>73</v>
      </c>
      <c r="BI96" s="2" t="s">
        <v>73</v>
      </c>
      <c r="BJ96" s="2" t="s">
        <v>73</v>
      </c>
      <c r="BK96" s="2" t="s">
        <v>661</v>
      </c>
      <c r="BL96" s="2" t="s">
        <v>73</v>
      </c>
      <c r="BM96" s="12">
        <v>71</v>
      </c>
    </row>
    <row r="97" spans="1:65">
      <c r="A97" s="4" t="s">
        <v>60</v>
      </c>
      <c r="B97" s="4" t="s">
        <v>834</v>
      </c>
      <c r="C97" s="4" t="s">
        <v>835</v>
      </c>
      <c r="D97" s="4" t="s">
        <v>836</v>
      </c>
      <c r="E97" s="4" t="s">
        <v>837</v>
      </c>
      <c r="F97" s="4" t="s">
        <v>838</v>
      </c>
      <c r="G97" t="str">
        <f t="shared" si="3"/>
        <v>STOPOVERTHINKING-1</v>
      </c>
      <c r="H97" s="4" t="s">
        <v>66</v>
      </c>
      <c r="I97" s="4" t="s">
        <v>67</v>
      </c>
      <c r="J97" s="4" t="s">
        <v>67</v>
      </c>
      <c r="K97" s="4" t="s">
        <v>68</v>
      </c>
      <c r="L97" s="4" t="s">
        <v>69</v>
      </c>
      <c r="M97" s="4" t="s">
        <v>839</v>
      </c>
      <c r="N97" t="str">
        <f t="shared" si="4"/>
        <v>September</v>
      </c>
      <c r="O97" s="4" t="s">
        <v>839</v>
      </c>
      <c r="P97" s="4" t="s">
        <v>71</v>
      </c>
      <c r="Q97" s="4" t="s">
        <v>72</v>
      </c>
      <c r="R97" s="4" t="s">
        <v>73</v>
      </c>
      <c r="S97" s="4" t="s">
        <v>840</v>
      </c>
      <c r="T97" s="4" t="s">
        <v>75</v>
      </c>
      <c r="U97" s="4" t="s">
        <v>75</v>
      </c>
      <c r="V97" s="4" t="s">
        <v>75</v>
      </c>
      <c r="W97" s="4" t="s">
        <v>840</v>
      </c>
      <c r="X97" s="4" t="s">
        <v>75</v>
      </c>
      <c r="Y97" s="4" t="s">
        <v>840</v>
      </c>
      <c r="Z97" s="4" t="s">
        <v>76</v>
      </c>
      <c r="AA97" s="4" t="s">
        <v>840</v>
      </c>
      <c r="AB97" s="4" t="s">
        <v>75</v>
      </c>
      <c r="AC97" s="4" t="s">
        <v>75</v>
      </c>
      <c r="AD97" s="4" t="s">
        <v>75</v>
      </c>
      <c r="AE97" s="4" t="s">
        <v>75</v>
      </c>
      <c r="AF97" s="4" t="s">
        <v>75</v>
      </c>
      <c r="AG97" s="4" t="s">
        <v>75</v>
      </c>
      <c r="AH97" s="4" t="s">
        <v>75</v>
      </c>
      <c r="AI97" s="4" t="s">
        <v>75</v>
      </c>
      <c r="AJ97" s="4" t="s">
        <v>75</v>
      </c>
      <c r="AK97" s="4" t="s">
        <v>75</v>
      </c>
      <c r="AL97" s="4" t="s">
        <v>75</v>
      </c>
      <c r="AM97" s="4" t="s">
        <v>75</v>
      </c>
      <c r="AN97" s="4" t="s">
        <v>75</v>
      </c>
      <c r="AO97" s="4" t="s">
        <v>75</v>
      </c>
      <c r="AP97" s="4" t="s">
        <v>75</v>
      </c>
      <c r="AQ97" s="4" t="s">
        <v>75</v>
      </c>
      <c r="AR97" s="4" t="s">
        <v>75</v>
      </c>
      <c r="AS97" s="4" t="s">
        <v>75</v>
      </c>
      <c r="AT97" s="4" t="s">
        <v>75</v>
      </c>
      <c r="AU97" s="4" t="s">
        <v>841</v>
      </c>
      <c r="AV97" s="4" t="s">
        <v>842</v>
      </c>
      <c r="AW97" s="4" t="s">
        <v>840</v>
      </c>
      <c r="AX97" s="4" t="s">
        <v>843</v>
      </c>
      <c r="AY97" s="4" t="s">
        <v>126</v>
      </c>
      <c r="AZ97" s="4" t="s">
        <v>843</v>
      </c>
      <c r="BA97" t="s">
        <v>1424</v>
      </c>
      <c r="BB97" s="13" t="str">
        <f t="shared" si="5"/>
        <v xml:space="preserve"> Chennai</v>
      </c>
      <c r="BC97" s="4" t="s">
        <v>126</v>
      </c>
      <c r="BD97" s="4" t="s">
        <v>198</v>
      </c>
      <c r="BE97" s="4" t="s">
        <v>81</v>
      </c>
      <c r="BF97" s="4" t="s">
        <v>82</v>
      </c>
      <c r="BG97" s="4" t="s">
        <v>844</v>
      </c>
      <c r="BH97" s="4" t="s">
        <v>73</v>
      </c>
      <c r="BI97" s="4" t="s">
        <v>73</v>
      </c>
      <c r="BJ97" s="4" t="s">
        <v>73</v>
      </c>
      <c r="BK97" s="4" t="s">
        <v>845</v>
      </c>
      <c r="BL97" s="4" t="s">
        <v>73</v>
      </c>
      <c r="BM97" s="12">
        <v>87</v>
      </c>
    </row>
    <row r="98" spans="1:65">
      <c r="A98" s="4" t="s">
        <v>60</v>
      </c>
      <c r="B98" s="4" t="s">
        <v>846</v>
      </c>
      <c r="C98" s="4" t="s">
        <v>847</v>
      </c>
      <c r="D98" s="4" t="s">
        <v>793</v>
      </c>
      <c r="E98" s="4" t="s">
        <v>794</v>
      </c>
      <c r="F98" s="4" t="s">
        <v>795</v>
      </c>
      <c r="G98" t="str">
        <f t="shared" si="3"/>
        <v>THE-MAGIC-IKIGAI</v>
      </c>
      <c r="H98" s="4" t="s">
        <v>66</v>
      </c>
      <c r="I98" s="4" t="s">
        <v>67</v>
      </c>
      <c r="J98" s="4" t="s">
        <v>67</v>
      </c>
      <c r="K98" s="4" t="s">
        <v>140</v>
      </c>
      <c r="L98" s="4" t="s">
        <v>69</v>
      </c>
      <c r="M98" s="4" t="s">
        <v>848</v>
      </c>
      <c r="N98" t="str">
        <f t="shared" si="4"/>
        <v>September</v>
      </c>
      <c r="O98" s="4" t="s">
        <v>848</v>
      </c>
      <c r="P98" s="4" t="s">
        <v>71</v>
      </c>
      <c r="Q98" s="4" t="s">
        <v>72</v>
      </c>
      <c r="R98" s="4" t="s">
        <v>73</v>
      </c>
      <c r="S98" s="4" t="s">
        <v>628</v>
      </c>
      <c r="T98" s="4" t="s">
        <v>725</v>
      </c>
      <c r="U98" s="4" t="s">
        <v>849</v>
      </c>
      <c r="V98" s="4" t="s">
        <v>850</v>
      </c>
      <c r="W98" s="4" t="s">
        <v>851</v>
      </c>
      <c r="X98" s="4" t="s">
        <v>75</v>
      </c>
      <c r="Y98" s="4" t="s">
        <v>851</v>
      </c>
      <c r="Z98" s="4" t="s">
        <v>76</v>
      </c>
      <c r="AA98" s="4" t="s">
        <v>851</v>
      </c>
      <c r="AB98" s="4" t="s">
        <v>75</v>
      </c>
      <c r="AC98" s="4" t="s">
        <v>75</v>
      </c>
      <c r="AD98" s="4" t="s">
        <v>75</v>
      </c>
      <c r="AE98" s="4" t="s">
        <v>75</v>
      </c>
      <c r="AF98" s="4" t="s">
        <v>75</v>
      </c>
      <c r="AG98" s="4" t="s">
        <v>75</v>
      </c>
      <c r="AH98" s="4" t="s">
        <v>75</v>
      </c>
      <c r="AI98" s="4" t="s">
        <v>75</v>
      </c>
      <c r="AJ98" s="4" t="s">
        <v>75</v>
      </c>
      <c r="AK98" s="4" t="s">
        <v>75</v>
      </c>
      <c r="AL98" s="4" t="s">
        <v>75</v>
      </c>
      <c r="AM98" s="4" t="s">
        <v>75</v>
      </c>
      <c r="AN98" s="4" t="s">
        <v>75</v>
      </c>
      <c r="AO98" s="4" t="s">
        <v>75</v>
      </c>
      <c r="AP98" s="4" t="s">
        <v>75</v>
      </c>
      <c r="AQ98" s="4" t="s">
        <v>75</v>
      </c>
      <c r="AR98" s="4" t="s">
        <v>75</v>
      </c>
      <c r="AS98" s="4" t="s">
        <v>75</v>
      </c>
      <c r="AT98" s="4" t="s">
        <v>75</v>
      </c>
      <c r="AU98" s="4" t="s">
        <v>852</v>
      </c>
      <c r="AV98" s="4" t="s">
        <v>853</v>
      </c>
      <c r="AW98" s="4" t="s">
        <v>851</v>
      </c>
      <c r="AX98" s="4" t="s">
        <v>854</v>
      </c>
      <c r="AY98" s="4" t="s">
        <v>855</v>
      </c>
      <c r="AZ98" s="4" t="s">
        <v>854</v>
      </c>
      <c r="BA98" s="7" t="s">
        <v>1367</v>
      </c>
      <c r="BB98" s="13" t="str">
        <f t="shared" si="5"/>
        <v xml:space="preserve"> Bilaspur</v>
      </c>
      <c r="BC98" s="4" t="s">
        <v>855</v>
      </c>
      <c r="BD98" s="4" t="s">
        <v>73</v>
      </c>
      <c r="BE98" s="4" t="s">
        <v>81</v>
      </c>
      <c r="BF98" s="4" t="s">
        <v>82</v>
      </c>
      <c r="BG98" s="4" t="s">
        <v>856</v>
      </c>
      <c r="BH98" s="4" t="s">
        <v>73</v>
      </c>
      <c r="BI98" s="4" t="s">
        <v>73</v>
      </c>
      <c r="BJ98" s="4" t="s">
        <v>73</v>
      </c>
      <c r="BK98" s="4" t="s">
        <v>857</v>
      </c>
      <c r="BL98" s="4" t="s">
        <v>73</v>
      </c>
      <c r="BM98" s="12">
        <v>82</v>
      </c>
    </row>
    <row r="99" spans="1:65">
      <c r="A99" s="4" t="s">
        <v>60</v>
      </c>
      <c r="B99" s="4" t="s">
        <v>858</v>
      </c>
      <c r="C99" s="4" t="s">
        <v>859</v>
      </c>
      <c r="D99" s="4" t="s">
        <v>732</v>
      </c>
      <c r="E99" s="4" t="s">
        <v>733</v>
      </c>
      <c r="F99" s="4" t="s">
        <v>734</v>
      </c>
      <c r="G99" t="str">
        <f t="shared" si="3"/>
        <v>DOMORE-4</v>
      </c>
      <c r="H99" s="4" t="s">
        <v>66</v>
      </c>
      <c r="I99" s="4" t="s">
        <v>67</v>
      </c>
      <c r="J99" s="4" t="s">
        <v>67</v>
      </c>
      <c r="K99" s="4" t="s">
        <v>68</v>
      </c>
      <c r="L99" s="4" t="s">
        <v>69</v>
      </c>
      <c r="M99" s="4" t="s">
        <v>860</v>
      </c>
      <c r="N99" t="str">
        <f t="shared" si="4"/>
        <v>September</v>
      </c>
      <c r="O99" s="4" t="s">
        <v>860</v>
      </c>
      <c r="P99" s="4" t="s">
        <v>71</v>
      </c>
      <c r="Q99" s="4" t="s">
        <v>72</v>
      </c>
      <c r="R99" s="4" t="s">
        <v>73</v>
      </c>
      <c r="S99" s="4" t="s">
        <v>861</v>
      </c>
      <c r="T99" s="4" t="s">
        <v>181</v>
      </c>
      <c r="U99" s="4" t="s">
        <v>862</v>
      </c>
      <c r="V99" s="4" t="s">
        <v>863</v>
      </c>
      <c r="W99" s="4" t="s">
        <v>367</v>
      </c>
      <c r="X99" s="4" t="s">
        <v>75</v>
      </c>
      <c r="Y99" s="4" t="s">
        <v>367</v>
      </c>
      <c r="Z99" s="4" t="s">
        <v>76</v>
      </c>
      <c r="AA99" s="4" t="s">
        <v>367</v>
      </c>
      <c r="AB99" s="4" t="s">
        <v>75</v>
      </c>
      <c r="AC99" s="4" t="s">
        <v>75</v>
      </c>
      <c r="AD99" s="4" t="s">
        <v>75</v>
      </c>
      <c r="AE99" s="4" t="s">
        <v>75</v>
      </c>
      <c r="AF99" s="4" t="s">
        <v>75</v>
      </c>
      <c r="AG99" s="4" t="s">
        <v>75</v>
      </c>
      <c r="AH99" s="4" t="s">
        <v>75</v>
      </c>
      <c r="AI99" s="4" t="s">
        <v>75</v>
      </c>
      <c r="AJ99" s="4" t="s">
        <v>75</v>
      </c>
      <c r="AK99" s="4" t="s">
        <v>75</v>
      </c>
      <c r="AL99" s="4" t="s">
        <v>75</v>
      </c>
      <c r="AM99" s="4" t="s">
        <v>75</v>
      </c>
      <c r="AN99" s="4" t="s">
        <v>75</v>
      </c>
      <c r="AO99" s="4" t="s">
        <v>75</v>
      </c>
      <c r="AP99" s="4" t="s">
        <v>75</v>
      </c>
      <c r="AQ99" s="4" t="s">
        <v>75</v>
      </c>
      <c r="AR99" s="4" t="s">
        <v>75</v>
      </c>
      <c r="AS99" s="4" t="s">
        <v>75</v>
      </c>
      <c r="AT99" s="4" t="s">
        <v>75</v>
      </c>
      <c r="AU99" s="4" t="s">
        <v>864</v>
      </c>
      <c r="AV99" s="4" t="s">
        <v>865</v>
      </c>
      <c r="AW99" s="4" t="s">
        <v>367</v>
      </c>
      <c r="AX99" s="4" t="s">
        <v>866</v>
      </c>
      <c r="AY99" s="4" t="s">
        <v>107</v>
      </c>
      <c r="AZ99" s="4" t="s">
        <v>866</v>
      </c>
      <c r="BA99" s="7" t="s">
        <v>1368</v>
      </c>
      <c r="BB99" s="13" t="str">
        <f t="shared" si="5"/>
        <v xml:space="preserve"> Pauri Garhwal</v>
      </c>
      <c r="BC99" s="4" t="s">
        <v>107</v>
      </c>
      <c r="BD99" s="4" t="s">
        <v>73</v>
      </c>
      <c r="BE99" s="4" t="s">
        <v>81</v>
      </c>
      <c r="BF99" s="4" t="s">
        <v>82</v>
      </c>
      <c r="BG99" s="4" t="s">
        <v>370</v>
      </c>
      <c r="BH99" s="4" t="s">
        <v>73</v>
      </c>
      <c r="BI99" s="4" t="s">
        <v>73</v>
      </c>
      <c r="BJ99" s="4" t="s">
        <v>73</v>
      </c>
      <c r="BK99" s="4" t="s">
        <v>867</v>
      </c>
      <c r="BL99" s="4" t="s">
        <v>73</v>
      </c>
      <c r="BM99" s="12">
        <v>89</v>
      </c>
    </row>
    <row r="100" spans="1:65">
      <c r="A100" s="4" t="s">
        <v>60</v>
      </c>
      <c r="B100" s="4" t="s">
        <v>868</v>
      </c>
      <c r="C100" s="4" t="s">
        <v>869</v>
      </c>
      <c r="D100" s="4" t="s">
        <v>525</v>
      </c>
      <c r="E100" s="4" t="s">
        <v>526</v>
      </c>
      <c r="F100" s="4" t="s">
        <v>527</v>
      </c>
      <c r="G100" t="str">
        <f t="shared" si="3"/>
        <v>WHO-WILL-CRY01</v>
      </c>
      <c r="H100" s="4" t="s">
        <v>66</v>
      </c>
      <c r="I100" s="4" t="s">
        <v>67</v>
      </c>
      <c r="J100" s="4" t="s">
        <v>67</v>
      </c>
      <c r="K100" s="4" t="s">
        <v>140</v>
      </c>
      <c r="L100" s="4" t="s">
        <v>69</v>
      </c>
      <c r="M100" s="4" t="s">
        <v>870</v>
      </c>
      <c r="N100" t="str">
        <f t="shared" si="4"/>
        <v>September</v>
      </c>
      <c r="O100" s="4" t="s">
        <v>870</v>
      </c>
      <c r="P100" s="4" t="s">
        <v>71</v>
      </c>
      <c r="Q100" s="4" t="s">
        <v>72</v>
      </c>
      <c r="R100" s="4" t="s">
        <v>73</v>
      </c>
      <c r="S100" s="4" t="s">
        <v>367</v>
      </c>
      <c r="T100" s="4" t="s">
        <v>181</v>
      </c>
      <c r="U100" s="4" t="s">
        <v>862</v>
      </c>
      <c r="V100" s="4" t="s">
        <v>863</v>
      </c>
      <c r="W100" s="4" t="s">
        <v>454</v>
      </c>
      <c r="X100" s="4" t="s">
        <v>75</v>
      </c>
      <c r="Y100" s="4" t="s">
        <v>454</v>
      </c>
      <c r="Z100" s="4" t="s">
        <v>76</v>
      </c>
      <c r="AA100" s="4" t="s">
        <v>454</v>
      </c>
      <c r="AB100" s="4" t="s">
        <v>75</v>
      </c>
      <c r="AC100" s="4" t="s">
        <v>75</v>
      </c>
      <c r="AD100" s="4" t="s">
        <v>75</v>
      </c>
      <c r="AE100" s="4" t="s">
        <v>75</v>
      </c>
      <c r="AF100" s="4" t="s">
        <v>75</v>
      </c>
      <c r="AG100" s="4" t="s">
        <v>75</v>
      </c>
      <c r="AH100" s="4" t="s">
        <v>75</v>
      </c>
      <c r="AI100" s="4" t="s">
        <v>75</v>
      </c>
      <c r="AJ100" s="4" t="s">
        <v>75</v>
      </c>
      <c r="AK100" s="4" t="s">
        <v>75</v>
      </c>
      <c r="AL100" s="4" t="s">
        <v>75</v>
      </c>
      <c r="AM100" s="4" t="s">
        <v>75</v>
      </c>
      <c r="AN100" s="4" t="s">
        <v>75</v>
      </c>
      <c r="AO100" s="4" t="s">
        <v>75</v>
      </c>
      <c r="AP100" s="4" t="s">
        <v>75</v>
      </c>
      <c r="AQ100" s="4" t="s">
        <v>75</v>
      </c>
      <c r="AR100" s="4" t="s">
        <v>75</v>
      </c>
      <c r="AS100" s="4" t="s">
        <v>75</v>
      </c>
      <c r="AT100" s="4" t="s">
        <v>75</v>
      </c>
      <c r="AU100" s="4" t="s">
        <v>871</v>
      </c>
      <c r="AV100" s="4" t="s">
        <v>872</v>
      </c>
      <c r="AW100" s="4" t="s">
        <v>454</v>
      </c>
      <c r="AX100" s="4" t="s">
        <v>873</v>
      </c>
      <c r="AY100" s="4" t="s">
        <v>563</v>
      </c>
      <c r="AZ100" s="4" t="s">
        <v>873</v>
      </c>
      <c r="BA100" s="7" t="s">
        <v>1369</v>
      </c>
      <c r="BB100" s="13" t="str">
        <f t="shared" si="5"/>
        <v xml:space="preserve"> Patna</v>
      </c>
      <c r="BC100" s="4" t="s">
        <v>563</v>
      </c>
      <c r="BD100" s="4" t="s">
        <v>73</v>
      </c>
      <c r="BE100" s="4" t="s">
        <v>81</v>
      </c>
      <c r="BF100" s="4" t="s">
        <v>82</v>
      </c>
      <c r="BG100" s="4" t="s">
        <v>459</v>
      </c>
      <c r="BH100" s="4" t="s">
        <v>73</v>
      </c>
      <c r="BI100" s="4" t="s">
        <v>73</v>
      </c>
      <c r="BJ100" s="4" t="s">
        <v>73</v>
      </c>
      <c r="BK100" s="4" t="s">
        <v>874</v>
      </c>
      <c r="BL100" s="4" t="s">
        <v>73</v>
      </c>
      <c r="BM100" s="12">
        <v>73</v>
      </c>
    </row>
    <row r="101" spans="1:65">
      <c r="A101" s="4" t="s">
        <v>60</v>
      </c>
      <c r="B101" s="4" t="s">
        <v>875</v>
      </c>
      <c r="C101" s="4" t="s">
        <v>876</v>
      </c>
      <c r="D101" s="4" t="s">
        <v>877</v>
      </c>
      <c r="E101" s="4" t="s">
        <v>878</v>
      </c>
      <c r="F101" s="4" t="s">
        <v>879</v>
      </c>
      <c r="G101" t="str">
        <f t="shared" si="3"/>
        <v>THE-COURAGE01</v>
      </c>
      <c r="H101" s="4" t="s">
        <v>66</v>
      </c>
      <c r="I101" s="4" t="s">
        <v>67</v>
      </c>
      <c r="J101" s="4" t="s">
        <v>67</v>
      </c>
      <c r="K101" s="4" t="s">
        <v>68</v>
      </c>
      <c r="L101" s="4" t="s">
        <v>69</v>
      </c>
      <c r="M101" s="4" t="s">
        <v>880</v>
      </c>
      <c r="N101" t="str">
        <f t="shared" si="4"/>
        <v>September</v>
      </c>
      <c r="O101" s="4" t="s">
        <v>880</v>
      </c>
      <c r="P101" s="4" t="s">
        <v>71</v>
      </c>
      <c r="Q101" s="4" t="s">
        <v>72</v>
      </c>
      <c r="R101" s="4" t="s">
        <v>73</v>
      </c>
      <c r="S101" s="4" t="s">
        <v>881</v>
      </c>
      <c r="T101" s="4" t="s">
        <v>231</v>
      </c>
      <c r="U101" s="4" t="s">
        <v>75</v>
      </c>
      <c r="V101" s="4" t="s">
        <v>231</v>
      </c>
      <c r="W101" s="4" t="s">
        <v>882</v>
      </c>
      <c r="X101" s="4" t="s">
        <v>75</v>
      </c>
      <c r="Y101" s="4" t="s">
        <v>882</v>
      </c>
      <c r="Z101" s="4" t="s">
        <v>76</v>
      </c>
      <c r="AA101" s="4" t="s">
        <v>882</v>
      </c>
      <c r="AB101" s="4" t="s">
        <v>75</v>
      </c>
      <c r="AC101" s="4" t="s">
        <v>75</v>
      </c>
      <c r="AD101" s="4" t="s">
        <v>75</v>
      </c>
      <c r="AE101" s="4" t="s">
        <v>75</v>
      </c>
      <c r="AF101" s="4" t="s">
        <v>75</v>
      </c>
      <c r="AG101" s="4" t="s">
        <v>75</v>
      </c>
      <c r="AH101" s="4" t="s">
        <v>75</v>
      </c>
      <c r="AI101" s="4" t="s">
        <v>75</v>
      </c>
      <c r="AJ101" s="4" t="s">
        <v>75</v>
      </c>
      <c r="AK101" s="4" t="s">
        <v>75</v>
      </c>
      <c r="AL101" s="4" t="s">
        <v>75</v>
      </c>
      <c r="AM101" s="4" t="s">
        <v>75</v>
      </c>
      <c r="AN101" s="4" t="s">
        <v>75</v>
      </c>
      <c r="AO101" s="4" t="s">
        <v>75</v>
      </c>
      <c r="AP101" s="4" t="s">
        <v>75</v>
      </c>
      <c r="AQ101" s="4" t="s">
        <v>75</v>
      </c>
      <c r="AR101" s="4" t="s">
        <v>75</v>
      </c>
      <c r="AS101" s="4" t="s">
        <v>75</v>
      </c>
      <c r="AT101" s="4" t="s">
        <v>75</v>
      </c>
      <c r="AU101" s="4" t="s">
        <v>883</v>
      </c>
      <c r="AV101" s="4" t="s">
        <v>884</v>
      </c>
      <c r="AW101" s="4" t="s">
        <v>882</v>
      </c>
      <c r="AX101" s="4" t="s">
        <v>885</v>
      </c>
      <c r="AY101" s="4" t="s">
        <v>126</v>
      </c>
      <c r="AZ101" s="4" t="s">
        <v>885</v>
      </c>
      <c r="BA101" s="7" t="s">
        <v>1370</v>
      </c>
      <c r="BB101" s="13" t="str">
        <f t="shared" si="5"/>
        <v xml:space="preserve"> Puducherry</v>
      </c>
      <c r="BC101" s="4" t="s">
        <v>126</v>
      </c>
      <c r="BD101" s="4" t="s">
        <v>73</v>
      </c>
      <c r="BE101" s="4" t="s">
        <v>81</v>
      </c>
      <c r="BF101" s="4" t="s">
        <v>82</v>
      </c>
      <c r="BG101" s="4" t="s">
        <v>886</v>
      </c>
      <c r="BH101" s="4" t="s">
        <v>73</v>
      </c>
      <c r="BI101" s="4" t="s">
        <v>73</v>
      </c>
      <c r="BJ101" s="4" t="s">
        <v>73</v>
      </c>
      <c r="BK101" s="4" t="s">
        <v>887</v>
      </c>
      <c r="BL101" s="4" t="s">
        <v>73</v>
      </c>
      <c r="BM101" s="12">
        <v>80</v>
      </c>
    </row>
    <row r="102" spans="1:65">
      <c r="A102" s="4" t="s">
        <v>60</v>
      </c>
      <c r="B102" s="4" t="s">
        <v>888</v>
      </c>
      <c r="C102" s="4" t="s">
        <v>889</v>
      </c>
      <c r="D102" s="4" t="s">
        <v>820</v>
      </c>
      <c r="E102" s="4" t="s">
        <v>821</v>
      </c>
      <c r="F102" s="4" t="s">
        <v>822</v>
      </c>
      <c r="G102" t="str">
        <f t="shared" si="3"/>
        <v>THE-MAGIC01</v>
      </c>
      <c r="H102" s="4" t="s">
        <v>66</v>
      </c>
      <c r="I102" s="4" t="s">
        <v>138</v>
      </c>
      <c r="J102" s="4" t="s">
        <v>138</v>
      </c>
      <c r="K102" s="4" t="s">
        <v>140</v>
      </c>
      <c r="L102" s="4" t="s">
        <v>69</v>
      </c>
      <c r="M102" s="4" t="s">
        <v>890</v>
      </c>
      <c r="N102" t="str">
        <f t="shared" si="4"/>
        <v>September</v>
      </c>
      <c r="O102" s="4" t="s">
        <v>890</v>
      </c>
      <c r="P102" s="4" t="s">
        <v>71</v>
      </c>
      <c r="Q102" s="4" t="s">
        <v>72</v>
      </c>
      <c r="R102" s="4" t="s">
        <v>73</v>
      </c>
      <c r="S102" s="4" t="s">
        <v>824</v>
      </c>
      <c r="T102" s="4" t="s">
        <v>891</v>
      </c>
      <c r="U102" s="4" t="s">
        <v>75</v>
      </c>
      <c r="V102" s="4" t="s">
        <v>891</v>
      </c>
      <c r="W102" s="4" t="s">
        <v>454</v>
      </c>
      <c r="X102" s="4" t="s">
        <v>75</v>
      </c>
      <c r="Y102" s="4" t="s">
        <v>454</v>
      </c>
      <c r="Z102" s="4" t="s">
        <v>76</v>
      </c>
      <c r="AA102" s="4" t="s">
        <v>455</v>
      </c>
      <c r="AB102" s="4" t="s">
        <v>75</v>
      </c>
      <c r="AC102" s="4" t="s">
        <v>75</v>
      </c>
      <c r="AD102" s="4" t="s">
        <v>75</v>
      </c>
      <c r="AE102" s="4" t="s">
        <v>75</v>
      </c>
      <c r="AF102" s="4" t="s">
        <v>75</v>
      </c>
      <c r="AG102" s="4" t="s">
        <v>75</v>
      </c>
      <c r="AH102" s="4" t="s">
        <v>75</v>
      </c>
      <c r="AI102" s="4" t="s">
        <v>75</v>
      </c>
      <c r="AJ102" s="4" t="s">
        <v>75</v>
      </c>
      <c r="AK102" s="4" t="s">
        <v>75</v>
      </c>
      <c r="AL102" s="4" t="s">
        <v>75</v>
      </c>
      <c r="AM102" s="4" t="s">
        <v>75</v>
      </c>
      <c r="AN102" s="4" t="s">
        <v>75</v>
      </c>
      <c r="AO102" s="4" t="s">
        <v>75</v>
      </c>
      <c r="AP102" s="4" t="s">
        <v>75</v>
      </c>
      <c r="AQ102" s="4" t="s">
        <v>75</v>
      </c>
      <c r="AR102" s="4" t="s">
        <v>75</v>
      </c>
      <c r="AS102" s="4" t="s">
        <v>75</v>
      </c>
      <c r="AT102" s="4" t="s">
        <v>75</v>
      </c>
      <c r="AU102" s="4" t="s">
        <v>892</v>
      </c>
      <c r="AV102" s="4" t="s">
        <v>893</v>
      </c>
      <c r="AW102" s="4" t="s">
        <v>455</v>
      </c>
      <c r="AX102" s="4" t="s">
        <v>894</v>
      </c>
      <c r="AY102" s="4" t="s">
        <v>592</v>
      </c>
      <c r="AZ102" s="4" t="s">
        <v>894</v>
      </c>
      <c r="BA102" s="11" t="s">
        <v>1429</v>
      </c>
      <c r="BB102" s="13" t="str">
        <f t="shared" si="5"/>
        <v xml:space="preserve"> New Delhi</v>
      </c>
      <c r="BC102" s="4" t="s">
        <v>592</v>
      </c>
      <c r="BD102" s="4" t="s">
        <v>73</v>
      </c>
      <c r="BE102" s="4" t="s">
        <v>81</v>
      </c>
      <c r="BF102" s="4" t="s">
        <v>82</v>
      </c>
      <c r="BG102" s="4" t="s">
        <v>459</v>
      </c>
      <c r="BH102" s="4" t="s">
        <v>73</v>
      </c>
      <c r="BI102" s="4" t="s">
        <v>73</v>
      </c>
      <c r="BJ102" s="4" t="s">
        <v>73</v>
      </c>
      <c r="BK102" s="4" t="s">
        <v>895</v>
      </c>
      <c r="BL102" s="4" t="s">
        <v>73</v>
      </c>
      <c r="BM102" s="12">
        <v>77</v>
      </c>
    </row>
    <row r="103" spans="1:65">
      <c r="A103" s="4" t="s">
        <v>60</v>
      </c>
      <c r="B103" s="4" t="s">
        <v>896</v>
      </c>
      <c r="C103" s="4" t="s">
        <v>897</v>
      </c>
      <c r="D103" s="4" t="s">
        <v>305</v>
      </c>
      <c r="E103" s="4" t="s">
        <v>306</v>
      </c>
      <c r="F103" s="4" t="s">
        <v>307</v>
      </c>
      <c r="G103" t="str">
        <f t="shared" si="3"/>
        <v>THANGRORICH</v>
      </c>
      <c r="H103" s="4" t="s">
        <v>66</v>
      </c>
      <c r="I103" s="4" t="s">
        <v>67</v>
      </c>
      <c r="J103" s="4" t="s">
        <v>67</v>
      </c>
      <c r="K103" s="4" t="s">
        <v>140</v>
      </c>
      <c r="L103" s="4" t="s">
        <v>69</v>
      </c>
      <c r="M103" s="4" t="s">
        <v>898</v>
      </c>
      <c r="N103" t="str">
        <f t="shared" si="4"/>
        <v>September</v>
      </c>
      <c r="O103" s="4" t="s">
        <v>898</v>
      </c>
      <c r="P103" s="4" t="s">
        <v>71</v>
      </c>
      <c r="Q103" s="4" t="s">
        <v>72</v>
      </c>
      <c r="R103" s="4" t="s">
        <v>73</v>
      </c>
      <c r="S103" s="4" t="s">
        <v>783</v>
      </c>
      <c r="T103" s="4" t="s">
        <v>674</v>
      </c>
      <c r="U103" s="4" t="s">
        <v>899</v>
      </c>
      <c r="V103" s="4" t="s">
        <v>900</v>
      </c>
      <c r="W103" s="4" t="s">
        <v>901</v>
      </c>
      <c r="X103" s="4" t="s">
        <v>75</v>
      </c>
      <c r="Y103" s="4" t="s">
        <v>901</v>
      </c>
      <c r="Z103" s="4" t="s">
        <v>76</v>
      </c>
      <c r="AA103" s="4" t="s">
        <v>901</v>
      </c>
      <c r="AB103" s="4" t="s">
        <v>75</v>
      </c>
      <c r="AC103" s="4" t="s">
        <v>75</v>
      </c>
      <c r="AD103" s="4" t="s">
        <v>75</v>
      </c>
      <c r="AE103" s="4" t="s">
        <v>75</v>
      </c>
      <c r="AF103" s="4" t="s">
        <v>75</v>
      </c>
      <c r="AG103" s="4" t="s">
        <v>75</v>
      </c>
      <c r="AH103" s="4" t="s">
        <v>75</v>
      </c>
      <c r="AI103" s="4" t="s">
        <v>75</v>
      </c>
      <c r="AJ103" s="4" t="s">
        <v>75</v>
      </c>
      <c r="AK103" s="4" t="s">
        <v>75</v>
      </c>
      <c r="AL103" s="4" t="s">
        <v>75</v>
      </c>
      <c r="AM103" s="4" t="s">
        <v>75</v>
      </c>
      <c r="AN103" s="4" t="s">
        <v>75</v>
      </c>
      <c r="AO103" s="4" t="s">
        <v>75</v>
      </c>
      <c r="AP103" s="4" t="s">
        <v>75</v>
      </c>
      <c r="AQ103" s="4" t="s">
        <v>75</v>
      </c>
      <c r="AR103" s="4" t="s">
        <v>75</v>
      </c>
      <c r="AS103" s="4" t="s">
        <v>75</v>
      </c>
      <c r="AT103" s="4" t="s">
        <v>75</v>
      </c>
      <c r="AU103" s="4" t="s">
        <v>902</v>
      </c>
      <c r="AV103" s="4" t="s">
        <v>903</v>
      </c>
      <c r="AW103" s="4" t="s">
        <v>901</v>
      </c>
      <c r="AX103" s="4" t="s">
        <v>904</v>
      </c>
      <c r="AY103" s="4" t="s">
        <v>905</v>
      </c>
      <c r="AZ103" s="4" t="s">
        <v>904</v>
      </c>
      <c r="BA103" s="7" t="s">
        <v>1371</v>
      </c>
      <c r="BB103" s="13" t="str">
        <f t="shared" si="5"/>
        <v xml:space="preserve"> Shimla</v>
      </c>
      <c r="BC103" s="4" t="s">
        <v>905</v>
      </c>
      <c r="BD103" s="4" t="s">
        <v>73</v>
      </c>
      <c r="BE103" s="4" t="s">
        <v>81</v>
      </c>
      <c r="BF103" s="4" t="s">
        <v>82</v>
      </c>
      <c r="BG103" s="4" t="s">
        <v>906</v>
      </c>
      <c r="BH103" s="4" t="s">
        <v>73</v>
      </c>
      <c r="BI103" s="4" t="s">
        <v>73</v>
      </c>
      <c r="BJ103" s="4" t="s">
        <v>73</v>
      </c>
      <c r="BK103" s="4" t="s">
        <v>907</v>
      </c>
      <c r="BL103" s="4" t="s">
        <v>73</v>
      </c>
      <c r="BM103" s="12">
        <v>84</v>
      </c>
    </row>
    <row r="104" spans="1:65">
      <c r="A104" s="4" t="s">
        <v>60</v>
      </c>
      <c r="B104" s="4" t="s">
        <v>888</v>
      </c>
      <c r="C104" s="4" t="s">
        <v>889</v>
      </c>
      <c r="D104" s="4" t="s">
        <v>820</v>
      </c>
      <c r="E104" s="4" t="s">
        <v>821</v>
      </c>
      <c r="F104" s="4" t="s">
        <v>822</v>
      </c>
      <c r="G104" t="str">
        <f t="shared" si="3"/>
        <v>THE-MAGIC01</v>
      </c>
      <c r="H104" s="4" t="s">
        <v>66</v>
      </c>
      <c r="I104" s="4" t="s">
        <v>67</v>
      </c>
      <c r="J104" s="4" t="s">
        <v>67</v>
      </c>
      <c r="K104" s="4" t="s">
        <v>140</v>
      </c>
      <c r="L104" s="4" t="s">
        <v>69</v>
      </c>
      <c r="M104" s="4" t="s">
        <v>890</v>
      </c>
      <c r="N104" t="str">
        <f t="shared" si="4"/>
        <v>September</v>
      </c>
      <c r="O104" s="4" t="s">
        <v>890</v>
      </c>
      <c r="P104" s="4" t="s">
        <v>71</v>
      </c>
      <c r="Q104" s="4" t="s">
        <v>72</v>
      </c>
      <c r="R104" s="4" t="s">
        <v>73</v>
      </c>
      <c r="S104" s="4" t="s">
        <v>824</v>
      </c>
      <c r="T104" s="4" t="s">
        <v>891</v>
      </c>
      <c r="U104" s="4" t="s">
        <v>75</v>
      </c>
      <c r="V104" s="4" t="s">
        <v>891</v>
      </c>
      <c r="W104" s="4" t="s">
        <v>454</v>
      </c>
      <c r="X104" s="4" t="s">
        <v>75</v>
      </c>
      <c r="Y104" s="4" t="s">
        <v>454</v>
      </c>
      <c r="Z104" s="4" t="s">
        <v>76</v>
      </c>
      <c r="AA104" s="4" t="s">
        <v>454</v>
      </c>
      <c r="AB104" s="4" t="s">
        <v>75</v>
      </c>
      <c r="AC104" s="4" t="s">
        <v>75</v>
      </c>
      <c r="AD104" s="4" t="s">
        <v>75</v>
      </c>
      <c r="AE104" s="4" t="s">
        <v>75</v>
      </c>
      <c r="AF104" s="4" t="s">
        <v>75</v>
      </c>
      <c r="AG104" s="4" t="s">
        <v>75</v>
      </c>
      <c r="AH104" s="4" t="s">
        <v>75</v>
      </c>
      <c r="AI104" s="4" t="s">
        <v>75</v>
      </c>
      <c r="AJ104" s="4" t="s">
        <v>75</v>
      </c>
      <c r="AK104" s="4" t="s">
        <v>75</v>
      </c>
      <c r="AL104" s="4" t="s">
        <v>75</v>
      </c>
      <c r="AM104" s="4" t="s">
        <v>75</v>
      </c>
      <c r="AN104" s="4" t="s">
        <v>75</v>
      </c>
      <c r="AO104" s="4" t="s">
        <v>75</v>
      </c>
      <c r="AP104" s="4" t="s">
        <v>75</v>
      </c>
      <c r="AQ104" s="4" t="s">
        <v>75</v>
      </c>
      <c r="AR104" s="4" t="s">
        <v>75</v>
      </c>
      <c r="AS104" s="4" t="s">
        <v>75</v>
      </c>
      <c r="AT104" s="4" t="s">
        <v>75</v>
      </c>
      <c r="AU104" s="4" t="s">
        <v>908</v>
      </c>
      <c r="AV104" s="4" t="s">
        <v>909</v>
      </c>
      <c r="AW104" s="4" t="s">
        <v>454</v>
      </c>
      <c r="AX104" s="4" t="s">
        <v>894</v>
      </c>
      <c r="AY104" s="4" t="s">
        <v>592</v>
      </c>
      <c r="AZ104" s="4" t="s">
        <v>894</v>
      </c>
      <c r="BA104" s="11" t="s">
        <v>1429</v>
      </c>
      <c r="BB104" s="13" t="str">
        <f t="shared" si="5"/>
        <v xml:space="preserve"> New Delhi</v>
      </c>
      <c r="BC104" s="4" t="s">
        <v>592</v>
      </c>
      <c r="BD104" s="4" t="s">
        <v>73</v>
      </c>
      <c r="BE104" s="4" t="s">
        <v>81</v>
      </c>
      <c r="BF104" s="4" t="s">
        <v>82</v>
      </c>
      <c r="BG104" s="4" t="s">
        <v>459</v>
      </c>
      <c r="BH104" s="4" t="s">
        <v>73</v>
      </c>
      <c r="BI104" s="4" t="s">
        <v>73</v>
      </c>
      <c r="BJ104" s="4" t="s">
        <v>73</v>
      </c>
      <c r="BK104" s="4" t="s">
        <v>895</v>
      </c>
      <c r="BL104" s="4" t="s">
        <v>73</v>
      </c>
      <c r="BM104" s="12">
        <v>86</v>
      </c>
    </row>
    <row r="105" spans="1:65">
      <c r="A105" s="4" t="s">
        <v>60</v>
      </c>
      <c r="B105" s="4" t="s">
        <v>910</v>
      </c>
      <c r="C105" s="4" t="s">
        <v>911</v>
      </c>
      <c r="D105" s="4" t="s">
        <v>732</v>
      </c>
      <c r="E105" s="4" t="s">
        <v>733</v>
      </c>
      <c r="F105" s="4" t="s">
        <v>734</v>
      </c>
      <c r="G105" t="str">
        <f t="shared" si="3"/>
        <v>DOMORE-4</v>
      </c>
      <c r="H105" s="4" t="s">
        <v>66</v>
      </c>
      <c r="I105" s="4" t="s">
        <v>67</v>
      </c>
      <c r="J105" s="4" t="s">
        <v>67</v>
      </c>
      <c r="K105" s="4" t="s">
        <v>68</v>
      </c>
      <c r="L105" s="4" t="s">
        <v>69</v>
      </c>
      <c r="M105" s="4" t="s">
        <v>912</v>
      </c>
      <c r="N105" t="str">
        <f t="shared" si="4"/>
        <v>September</v>
      </c>
      <c r="O105" s="4" t="s">
        <v>912</v>
      </c>
      <c r="P105" s="4" t="s">
        <v>71</v>
      </c>
      <c r="Q105" s="4" t="s">
        <v>72</v>
      </c>
      <c r="R105" s="4" t="s">
        <v>73</v>
      </c>
      <c r="S105" s="4" t="s">
        <v>861</v>
      </c>
      <c r="T105" s="4" t="s">
        <v>75</v>
      </c>
      <c r="U105" s="4" t="s">
        <v>75</v>
      </c>
      <c r="V105" s="4" t="s">
        <v>75</v>
      </c>
      <c r="W105" s="4" t="s">
        <v>861</v>
      </c>
      <c r="X105" s="4" t="s">
        <v>75</v>
      </c>
      <c r="Y105" s="4" t="s">
        <v>861</v>
      </c>
      <c r="Z105" s="4" t="s">
        <v>76</v>
      </c>
      <c r="AA105" s="4" t="s">
        <v>861</v>
      </c>
      <c r="AB105" s="4" t="s">
        <v>75</v>
      </c>
      <c r="AC105" s="4" t="s">
        <v>75</v>
      </c>
      <c r="AD105" s="4" t="s">
        <v>75</v>
      </c>
      <c r="AE105" s="4" t="s">
        <v>75</v>
      </c>
      <c r="AF105" s="4" t="s">
        <v>75</v>
      </c>
      <c r="AG105" s="4" t="s">
        <v>75</v>
      </c>
      <c r="AH105" s="4" t="s">
        <v>75</v>
      </c>
      <c r="AI105" s="4" t="s">
        <v>75</v>
      </c>
      <c r="AJ105" s="4" t="s">
        <v>75</v>
      </c>
      <c r="AK105" s="4" t="s">
        <v>75</v>
      </c>
      <c r="AL105" s="4" t="s">
        <v>75</v>
      </c>
      <c r="AM105" s="4" t="s">
        <v>75</v>
      </c>
      <c r="AN105" s="4" t="s">
        <v>75</v>
      </c>
      <c r="AO105" s="4" t="s">
        <v>75</v>
      </c>
      <c r="AP105" s="4" t="s">
        <v>75</v>
      </c>
      <c r="AQ105" s="4" t="s">
        <v>75</v>
      </c>
      <c r="AR105" s="4" t="s">
        <v>75</v>
      </c>
      <c r="AS105" s="4" t="s">
        <v>75</v>
      </c>
      <c r="AT105" s="4" t="s">
        <v>75</v>
      </c>
      <c r="AU105" s="4" t="s">
        <v>913</v>
      </c>
      <c r="AV105" s="4" t="s">
        <v>914</v>
      </c>
      <c r="AW105" s="4" t="s">
        <v>861</v>
      </c>
      <c r="AX105" s="4" t="s">
        <v>915</v>
      </c>
      <c r="AY105" s="4" t="s">
        <v>224</v>
      </c>
      <c r="AZ105" s="4" t="s">
        <v>915</v>
      </c>
      <c r="BA105" s="7" t="s">
        <v>1372</v>
      </c>
      <c r="BB105" s="13" t="str">
        <f t="shared" si="5"/>
        <v xml:space="preserve"> Bardhaman</v>
      </c>
      <c r="BC105" s="4" t="s">
        <v>224</v>
      </c>
      <c r="BD105" s="4" t="s">
        <v>73</v>
      </c>
      <c r="BE105" s="4" t="s">
        <v>81</v>
      </c>
      <c r="BF105" s="4" t="s">
        <v>82</v>
      </c>
      <c r="BG105" s="4" t="s">
        <v>916</v>
      </c>
      <c r="BH105" s="4" t="s">
        <v>73</v>
      </c>
      <c r="BI105" s="4" t="s">
        <v>73</v>
      </c>
      <c r="BJ105" s="4" t="s">
        <v>73</v>
      </c>
      <c r="BK105" s="4" t="s">
        <v>917</v>
      </c>
      <c r="BL105" s="4" t="s">
        <v>73</v>
      </c>
      <c r="BM105" s="12">
        <v>74</v>
      </c>
    </row>
    <row r="106" spans="1:65">
      <c r="A106" s="4" t="s">
        <v>60</v>
      </c>
      <c r="B106" s="4" t="s">
        <v>918</v>
      </c>
      <c r="C106" s="4" t="s">
        <v>919</v>
      </c>
      <c r="D106" s="4" t="s">
        <v>437</v>
      </c>
      <c r="E106" s="4" t="s">
        <v>438</v>
      </c>
      <c r="F106" s="4" t="s">
        <v>439</v>
      </c>
      <c r="G106" t="str">
        <f t="shared" si="3"/>
        <v>RICH-DAD-HINDI03</v>
      </c>
      <c r="H106" s="4" t="s">
        <v>66</v>
      </c>
      <c r="I106" s="4" t="s">
        <v>67</v>
      </c>
      <c r="J106" s="4" t="s">
        <v>67</v>
      </c>
      <c r="K106" s="4" t="s">
        <v>140</v>
      </c>
      <c r="L106" s="4" t="s">
        <v>69</v>
      </c>
      <c r="M106" s="4" t="s">
        <v>920</v>
      </c>
      <c r="N106" t="str">
        <f t="shared" si="4"/>
        <v>September</v>
      </c>
      <c r="O106" s="4" t="s">
        <v>920</v>
      </c>
      <c r="P106" s="4" t="s">
        <v>71</v>
      </c>
      <c r="Q106" s="4" t="s">
        <v>72</v>
      </c>
      <c r="R106" s="4" t="s">
        <v>73</v>
      </c>
      <c r="S106" s="4" t="s">
        <v>309</v>
      </c>
      <c r="T106" s="4" t="s">
        <v>725</v>
      </c>
      <c r="U106" s="4" t="s">
        <v>75</v>
      </c>
      <c r="V106" s="4" t="s">
        <v>725</v>
      </c>
      <c r="W106" s="4" t="s">
        <v>921</v>
      </c>
      <c r="X106" s="4" t="s">
        <v>75</v>
      </c>
      <c r="Y106" s="4" t="s">
        <v>921</v>
      </c>
      <c r="Z106" s="4" t="s">
        <v>76</v>
      </c>
      <c r="AA106" s="4" t="s">
        <v>921</v>
      </c>
      <c r="AB106" s="4" t="s">
        <v>75</v>
      </c>
      <c r="AC106" s="4" t="s">
        <v>75</v>
      </c>
      <c r="AD106" s="4" t="s">
        <v>75</v>
      </c>
      <c r="AE106" s="4" t="s">
        <v>75</v>
      </c>
      <c r="AF106" s="4" t="s">
        <v>75</v>
      </c>
      <c r="AG106" s="4" t="s">
        <v>75</v>
      </c>
      <c r="AH106" s="4" t="s">
        <v>75</v>
      </c>
      <c r="AI106" s="4" t="s">
        <v>75</v>
      </c>
      <c r="AJ106" s="4" t="s">
        <v>75</v>
      </c>
      <c r="AK106" s="4" t="s">
        <v>75</v>
      </c>
      <c r="AL106" s="4" t="s">
        <v>75</v>
      </c>
      <c r="AM106" s="4" t="s">
        <v>75</v>
      </c>
      <c r="AN106" s="4" t="s">
        <v>75</v>
      </c>
      <c r="AO106" s="4" t="s">
        <v>75</v>
      </c>
      <c r="AP106" s="4" t="s">
        <v>75</v>
      </c>
      <c r="AQ106" s="4" t="s">
        <v>75</v>
      </c>
      <c r="AR106" s="4" t="s">
        <v>75</v>
      </c>
      <c r="AS106" s="4" t="s">
        <v>75</v>
      </c>
      <c r="AT106" s="4" t="s">
        <v>75</v>
      </c>
      <c r="AU106" s="4" t="s">
        <v>922</v>
      </c>
      <c r="AV106" s="4" t="s">
        <v>923</v>
      </c>
      <c r="AW106" s="4" t="s">
        <v>921</v>
      </c>
      <c r="AX106" s="4" t="s">
        <v>677</v>
      </c>
      <c r="AY106" s="4" t="s">
        <v>563</v>
      </c>
      <c r="AZ106" s="4" t="s">
        <v>677</v>
      </c>
      <c r="BA106" s="11" t="s">
        <v>1428</v>
      </c>
      <c r="BB106" s="13" t="str">
        <f t="shared" si="5"/>
        <v xml:space="preserve"> Bihar Sharif</v>
      </c>
      <c r="BC106" s="4" t="s">
        <v>563</v>
      </c>
      <c r="BD106" s="4" t="s">
        <v>73</v>
      </c>
      <c r="BE106" s="4" t="s">
        <v>81</v>
      </c>
      <c r="BF106" s="4" t="s">
        <v>82</v>
      </c>
      <c r="BG106" s="4" t="s">
        <v>924</v>
      </c>
      <c r="BH106" s="4" t="s">
        <v>73</v>
      </c>
      <c r="BI106" s="4" t="s">
        <v>73</v>
      </c>
      <c r="BJ106" s="4" t="s">
        <v>73</v>
      </c>
      <c r="BK106" s="4" t="s">
        <v>678</v>
      </c>
      <c r="BL106" s="4" t="s">
        <v>73</v>
      </c>
      <c r="BM106" s="12">
        <v>78</v>
      </c>
    </row>
    <row r="107" spans="1:65">
      <c r="A107" s="4" t="s">
        <v>60</v>
      </c>
      <c r="B107" s="4" t="s">
        <v>925</v>
      </c>
      <c r="C107" s="4" t="s">
        <v>926</v>
      </c>
      <c r="D107" s="4" t="s">
        <v>793</v>
      </c>
      <c r="E107" s="4" t="s">
        <v>794</v>
      </c>
      <c r="F107" s="4" t="s">
        <v>795</v>
      </c>
      <c r="G107" t="str">
        <f t="shared" si="3"/>
        <v>THE-MAGIC-IKIGAI</v>
      </c>
      <c r="H107" s="4" t="s">
        <v>66</v>
      </c>
      <c r="I107" s="4" t="s">
        <v>67</v>
      </c>
      <c r="J107" s="4" t="s">
        <v>67</v>
      </c>
      <c r="K107" s="4" t="s">
        <v>68</v>
      </c>
      <c r="L107" s="4" t="s">
        <v>69</v>
      </c>
      <c r="M107" s="4" t="s">
        <v>927</v>
      </c>
      <c r="N107" t="str">
        <f t="shared" si="4"/>
        <v>September</v>
      </c>
      <c r="O107" s="4" t="s">
        <v>927</v>
      </c>
      <c r="P107" s="4" t="s">
        <v>71</v>
      </c>
      <c r="Q107" s="4" t="s">
        <v>72</v>
      </c>
      <c r="R107" s="4" t="s">
        <v>73</v>
      </c>
      <c r="S107" s="4" t="s">
        <v>628</v>
      </c>
      <c r="T107" s="4" t="s">
        <v>928</v>
      </c>
      <c r="U107" s="4" t="s">
        <v>75</v>
      </c>
      <c r="V107" s="4" t="s">
        <v>928</v>
      </c>
      <c r="W107" s="4" t="s">
        <v>929</v>
      </c>
      <c r="X107" s="4" t="s">
        <v>75</v>
      </c>
      <c r="Y107" s="4" t="s">
        <v>929</v>
      </c>
      <c r="Z107" s="4" t="s">
        <v>76</v>
      </c>
      <c r="AA107" s="4" t="s">
        <v>929</v>
      </c>
      <c r="AB107" s="4" t="s">
        <v>75</v>
      </c>
      <c r="AC107" s="4" t="s">
        <v>75</v>
      </c>
      <c r="AD107" s="4" t="s">
        <v>75</v>
      </c>
      <c r="AE107" s="4" t="s">
        <v>75</v>
      </c>
      <c r="AF107" s="4" t="s">
        <v>75</v>
      </c>
      <c r="AG107" s="4" t="s">
        <v>75</v>
      </c>
      <c r="AH107" s="4" t="s">
        <v>75</v>
      </c>
      <c r="AI107" s="4" t="s">
        <v>75</v>
      </c>
      <c r="AJ107" s="4" t="s">
        <v>75</v>
      </c>
      <c r="AK107" s="4" t="s">
        <v>75</v>
      </c>
      <c r="AL107" s="4" t="s">
        <v>75</v>
      </c>
      <c r="AM107" s="4" t="s">
        <v>75</v>
      </c>
      <c r="AN107" s="4" t="s">
        <v>75</v>
      </c>
      <c r="AO107" s="4" t="s">
        <v>75</v>
      </c>
      <c r="AP107" s="4" t="s">
        <v>75</v>
      </c>
      <c r="AQ107" s="4" t="s">
        <v>75</v>
      </c>
      <c r="AR107" s="4" t="s">
        <v>75</v>
      </c>
      <c r="AS107" s="4" t="s">
        <v>75</v>
      </c>
      <c r="AT107" s="4" t="s">
        <v>75</v>
      </c>
      <c r="AU107" s="4" t="s">
        <v>930</v>
      </c>
      <c r="AV107" s="4" t="s">
        <v>931</v>
      </c>
      <c r="AW107" s="4" t="s">
        <v>929</v>
      </c>
      <c r="AX107" s="4" t="s">
        <v>932</v>
      </c>
      <c r="AY107" s="4" t="s">
        <v>80</v>
      </c>
      <c r="AZ107" s="4" t="s">
        <v>932</v>
      </c>
      <c r="BA107" s="7" t="s">
        <v>1373</v>
      </c>
      <c r="BB107" s="13" t="str">
        <f t="shared" si="5"/>
        <v xml:space="preserve"> Hubli</v>
      </c>
      <c r="BC107" s="4" t="s">
        <v>80</v>
      </c>
      <c r="BD107" s="4" t="s">
        <v>73</v>
      </c>
      <c r="BE107" s="4" t="s">
        <v>81</v>
      </c>
      <c r="BF107" s="4" t="s">
        <v>82</v>
      </c>
      <c r="BG107" s="4" t="s">
        <v>933</v>
      </c>
      <c r="BH107" s="4" t="s">
        <v>73</v>
      </c>
      <c r="BI107" s="4" t="s">
        <v>73</v>
      </c>
      <c r="BJ107" s="4" t="s">
        <v>73</v>
      </c>
      <c r="BK107" s="4" t="s">
        <v>934</v>
      </c>
      <c r="BL107" s="4" t="s">
        <v>73</v>
      </c>
      <c r="BM107" s="12">
        <v>85</v>
      </c>
    </row>
    <row r="108" spans="1:65">
      <c r="A108" s="4" t="s">
        <v>60</v>
      </c>
      <c r="B108" s="4" t="s">
        <v>896</v>
      </c>
      <c r="C108" s="4" t="s">
        <v>897</v>
      </c>
      <c r="D108" s="4" t="s">
        <v>305</v>
      </c>
      <c r="E108" s="4" t="s">
        <v>306</v>
      </c>
      <c r="F108" s="4" t="s">
        <v>307</v>
      </c>
      <c r="G108" t="str">
        <f t="shared" si="3"/>
        <v>THANGRORICH</v>
      </c>
      <c r="H108" s="4" t="s">
        <v>66</v>
      </c>
      <c r="I108" s="4" t="s">
        <v>138</v>
      </c>
      <c r="J108" s="4" t="s">
        <v>138</v>
      </c>
      <c r="K108" s="4" t="s">
        <v>140</v>
      </c>
      <c r="L108" s="4" t="s">
        <v>69</v>
      </c>
      <c r="M108" s="4" t="s">
        <v>898</v>
      </c>
      <c r="N108" t="str">
        <f t="shared" si="4"/>
        <v>September</v>
      </c>
      <c r="O108" s="4" t="s">
        <v>898</v>
      </c>
      <c r="P108" s="4" t="s">
        <v>71</v>
      </c>
      <c r="Q108" s="4" t="s">
        <v>72</v>
      </c>
      <c r="R108" s="4" t="s">
        <v>73</v>
      </c>
      <c r="S108" s="4" t="s">
        <v>783</v>
      </c>
      <c r="T108" s="4" t="s">
        <v>674</v>
      </c>
      <c r="U108" s="4" t="s">
        <v>899</v>
      </c>
      <c r="V108" s="4" t="s">
        <v>900</v>
      </c>
      <c r="W108" s="4" t="s">
        <v>901</v>
      </c>
      <c r="X108" s="4" t="s">
        <v>75</v>
      </c>
      <c r="Y108" s="4" t="s">
        <v>901</v>
      </c>
      <c r="Z108" s="4" t="s">
        <v>76</v>
      </c>
      <c r="AA108" s="4" t="s">
        <v>935</v>
      </c>
      <c r="AB108" s="4" t="s">
        <v>75</v>
      </c>
      <c r="AC108" s="4" t="s">
        <v>75</v>
      </c>
      <c r="AD108" s="4" t="s">
        <v>75</v>
      </c>
      <c r="AE108" s="4" t="s">
        <v>75</v>
      </c>
      <c r="AF108" s="4" t="s">
        <v>75</v>
      </c>
      <c r="AG108" s="4" t="s">
        <v>75</v>
      </c>
      <c r="AH108" s="4" t="s">
        <v>75</v>
      </c>
      <c r="AI108" s="4" t="s">
        <v>75</v>
      </c>
      <c r="AJ108" s="4" t="s">
        <v>75</v>
      </c>
      <c r="AK108" s="4" t="s">
        <v>75</v>
      </c>
      <c r="AL108" s="4" t="s">
        <v>75</v>
      </c>
      <c r="AM108" s="4" t="s">
        <v>75</v>
      </c>
      <c r="AN108" s="4" t="s">
        <v>75</v>
      </c>
      <c r="AO108" s="4" t="s">
        <v>75</v>
      </c>
      <c r="AP108" s="4" t="s">
        <v>75</v>
      </c>
      <c r="AQ108" s="4" t="s">
        <v>75</v>
      </c>
      <c r="AR108" s="4" t="s">
        <v>75</v>
      </c>
      <c r="AS108" s="4" t="s">
        <v>75</v>
      </c>
      <c r="AT108" s="4" t="s">
        <v>75</v>
      </c>
      <c r="AU108" s="4" t="s">
        <v>936</v>
      </c>
      <c r="AV108" s="4" t="s">
        <v>937</v>
      </c>
      <c r="AW108" s="4" t="s">
        <v>935</v>
      </c>
      <c r="AX108" s="4" t="s">
        <v>904</v>
      </c>
      <c r="AY108" s="4" t="s">
        <v>905</v>
      </c>
      <c r="AZ108" s="4" t="s">
        <v>904</v>
      </c>
      <c r="BA108" s="11" t="s">
        <v>1430</v>
      </c>
      <c r="BB108" s="13" t="str">
        <f t="shared" si="5"/>
        <v xml:space="preserve"> Shimla</v>
      </c>
      <c r="BC108" s="4" t="s">
        <v>905</v>
      </c>
      <c r="BD108" s="4" t="s">
        <v>73</v>
      </c>
      <c r="BE108" s="4" t="s">
        <v>81</v>
      </c>
      <c r="BF108" s="4" t="s">
        <v>82</v>
      </c>
      <c r="BG108" s="4" t="s">
        <v>906</v>
      </c>
      <c r="BH108" s="4" t="s">
        <v>73</v>
      </c>
      <c r="BI108" s="4" t="s">
        <v>73</v>
      </c>
      <c r="BJ108" s="4" t="s">
        <v>73</v>
      </c>
      <c r="BK108" s="4" t="s">
        <v>907</v>
      </c>
      <c r="BL108" s="4" t="s">
        <v>73</v>
      </c>
      <c r="BM108" s="12">
        <v>72</v>
      </c>
    </row>
    <row r="109" spans="1:65">
      <c r="A109" s="4" t="s">
        <v>60</v>
      </c>
      <c r="B109" s="4" t="s">
        <v>938</v>
      </c>
      <c r="C109" s="4" t="s">
        <v>939</v>
      </c>
      <c r="D109" s="4" t="s">
        <v>940</v>
      </c>
      <c r="E109" s="4" t="s">
        <v>941</v>
      </c>
      <c r="F109" s="4" t="s">
        <v>942</v>
      </c>
      <c r="G109" t="str">
        <f t="shared" si="3"/>
        <v>ATOMIC-HABIT-HINDI</v>
      </c>
      <c r="H109" s="4" t="s">
        <v>66</v>
      </c>
      <c r="I109" s="4" t="s">
        <v>67</v>
      </c>
      <c r="J109" s="4" t="s">
        <v>67</v>
      </c>
      <c r="K109" s="4" t="s">
        <v>68</v>
      </c>
      <c r="L109" s="4" t="s">
        <v>69</v>
      </c>
      <c r="M109" s="4" t="s">
        <v>890</v>
      </c>
      <c r="N109" t="str">
        <f t="shared" si="4"/>
        <v>September</v>
      </c>
      <c r="O109" s="4" t="s">
        <v>890</v>
      </c>
      <c r="P109" s="4" t="s">
        <v>71</v>
      </c>
      <c r="Q109" s="4" t="s">
        <v>72</v>
      </c>
      <c r="R109" s="4" t="s">
        <v>73</v>
      </c>
      <c r="S109" s="4" t="s">
        <v>815</v>
      </c>
      <c r="T109" s="4" t="s">
        <v>725</v>
      </c>
      <c r="U109" s="4" t="s">
        <v>75</v>
      </c>
      <c r="V109" s="4" t="s">
        <v>725</v>
      </c>
      <c r="W109" s="4" t="s">
        <v>943</v>
      </c>
      <c r="X109" s="4" t="s">
        <v>75</v>
      </c>
      <c r="Y109" s="4" t="s">
        <v>943</v>
      </c>
      <c r="Z109" s="4" t="s">
        <v>76</v>
      </c>
      <c r="AA109" s="4" t="s">
        <v>943</v>
      </c>
      <c r="AB109" s="4" t="s">
        <v>75</v>
      </c>
      <c r="AC109" s="4" t="s">
        <v>75</v>
      </c>
      <c r="AD109" s="4" t="s">
        <v>75</v>
      </c>
      <c r="AE109" s="4" t="s">
        <v>75</v>
      </c>
      <c r="AF109" s="4" t="s">
        <v>75</v>
      </c>
      <c r="AG109" s="4" t="s">
        <v>75</v>
      </c>
      <c r="AH109" s="4" t="s">
        <v>75</v>
      </c>
      <c r="AI109" s="4" t="s">
        <v>75</v>
      </c>
      <c r="AJ109" s="4" t="s">
        <v>75</v>
      </c>
      <c r="AK109" s="4" t="s">
        <v>75</v>
      </c>
      <c r="AL109" s="4" t="s">
        <v>75</v>
      </c>
      <c r="AM109" s="4" t="s">
        <v>75</v>
      </c>
      <c r="AN109" s="4" t="s">
        <v>75</v>
      </c>
      <c r="AO109" s="4" t="s">
        <v>75</v>
      </c>
      <c r="AP109" s="4" t="s">
        <v>75</v>
      </c>
      <c r="AQ109" s="4" t="s">
        <v>75</v>
      </c>
      <c r="AR109" s="4" t="s">
        <v>75</v>
      </c>
      <c r="AS109" s="4" t="s">
        <v>75</v>
      </c>
      <c r="AT109" s="4" t="s">
        <v>75</v>
      </c>
      <c r="AU109" s="4" t="s">
        <v>944</v>
      </c>
      <c r="AV109" s="4" t="s">
        <v>909</v>
      </c>
      <c r="AW109" s="4" t="s">
        <v>943</v>
      </c>
      <c r="AX109" s="4" t="s">
        <v>945</v>
      </c>
      <c r="AY109" s="4" t="s">
        <v>469</v>
      </c>
      <c r="AZ109" s="4" t="s">
        <v>945</v>
      </c>
      <c r="BA109" s="7" t="s">
        <v>1374</v>
      </c>
      <c r="BB109" s="13" t="str">
        <f t="shared" si="5"/>
        <v xml:space="preserve"> Bhopal</v>
      </c>
      <c r="BC109" s="4" t="s">
        <v>469</v>
      </c>
      <c r="BD109" s="4" t="s">
        <v>73</v>
      </c>
      <c r="BE109" s="4" t="s">
        <v>81</v>
      </c>
      <c r="BF109" s="4" t="s">
        <v>82</v>
      </c>
      <c r="BG109" s="4" t="s">
        <v>946</v>
      </c>
      <c r="BH109" s="4" t="s">
        <v>73</v>
      </c>
      <c r="BI109" s="4" t="s">
        <v>73</v>
      </c>
      <c r="BJ109" s="4" t="s">
        <v>73</v>
      </c>
      <c r="BK109" s="4" t="s">
        <v>947</v>
      </c>
      <c r="BL109" s="4" t="s">
        <v>73</v>
      </c>
      <c r="BM109" s="12">
        <v>90</v>
      </c>
    </row>
    <row r="110" spans="1:65">
      <c r="A110" s="5" t="s">
        <v>60</v>
      </c>
      <c r="B110" s="5" t="s">
        <v>948</v>
      </c>
      <c r="C110" s="5" t="s">
        <v>949</v>
      </c>
      <c r="D110" s="5" t="s">
        <v>877</v>
      </c>
      <c r="E110" s="5" t="s">
        <v>878</v>
      </c>
      <c r="F110" s="5" t="s">
        <v>879</v>
      </c>
      <c r="G110" t="str">
        <f t="shared" si="3"/>
        <v>THE-COURAGE01</v>
      </c>
      <c r="H110" s="5" t="s">
        <v>66</v>
      </c>
      <c r="I110" s="5" t="s">
        <v>67</v>
      </c>
      <c r="J110" s="5" t="s">
        <v>67</v>
      </c>
      <c r="K110" s="5" t="s">
        <v>140</v>
      </c>
      <c r="L110" s="5" t="s">
        <v>69</v>
      </c>
      <c r="M110" s="5" t="s">
        <v>950</v>
      </c>
      <c r="N110" t="str">
        <f t="shared" si="4"/>
        <v>October</v>
      </c>
      <c r="O110" s="5" t="s">
        <v>950</v>
      </c>
      <c r="P110" s="5" t="s">
        <v>71</v>
      </c>
      <c r="Q110" s="5" t="s">
        <v>72</v>
      </c>
      <c r="R110" s="5" t="s">
        <v>73</v>
      </c>
      <c r="S110" s="5" t="s">
        <v>881</v>
      </c>
      <c r="T110" s="5" t="s">
        <v>231</v>
      </c>
      <c r="U110" s="5" t="s">
        <v>75</v>
      </c>
      <c r="V110" s="5" t="s">
        <v>231</v>
      </c>
      <c r="W110" s="5" t="s">
        <v>882</v>
      </c>
      <c r="X110" s="5" t="s">
        <v>75</v>
      </c>
      <c r="Y110" s="5" t="s">
        <v>882</v>
      </c>
      <c r="Z110" s="5" t="s">
        <v>76</v>
      </c>
      <c r="AA110" s="5" t="s">
        <v>882</v>
      </c>
      <c r="AB110" s="5" t="s">
        <v>75</v>
      </c>
      <c r="AC110" s="5" t="s">
        <v>75</v>
      </c>
      <c r="AD110" s="5" t="s">
        <v>75</v>
      </c>
      <c r="AE110" s="5" t="s">
        <v>75</v>
      </c>
      <c r="AF110" s="5" t="s">
        <v>75</v>
      </c>
      <c r="AG110" s="5" t="s">
        <v>75</v>
      </c>
      <c r="AH110" s="5" t="s">
        <v>75</v>
      </c>
      <c r="AI110" s="5" t="s">
        <v>75</v>
      </c>
      <c r="AJ110" s="5" t="s">
        <v>75</v>
      </c>
      <c r="AK110" s="5" t="s">
        <v>75</v>
      </c>
      <c r="AL110" s="5" t="s">
        <v>75</v>
      </c>
      <c r="AM110" s="5" t="s">
        <v>75</v>
      </c>
      <c r="AN110" s="5" t="s">
        <v>75</v>
      </c>
      <c r="AO110" s="5" t="s">
        <v>75</v>
      </c>
      <c r="AP110" s="5" t="s">
        <v>75</v>
      </c>
      <c r="AQ110" s="5" t="s">
        <v>75</v>
      </c>
      <c r="AR110" s="5" t="s">
        <v>75</v>
      </c>
      <c r="AS110" s="5" t="s">
        <v>75</v>
      </c>
      <c r="AT110" s="5" t="s">
        <v>75</v>
      </c>
      <c r="AU110" s="5" t="s">
        <v>951</v>
      </c>
      <c r="AV110" s="5" t="s">
        <v>952</v>
      </c>
      <c r="AW110" s="5" t="s">
        <v>882</v>
      </c>
      <c r="AX110" s="5" t="s">
        <v>953</v>
      </c>
      <c r="AY110" s="5" t="s">
        <v>261</v>
      </c>
      <c r="AZ110" s="5" t="s">
        <v>953</v>
      </c>
      <c r="BA110" s="7" t="s">
        <v>1375</v>
      </c>
      <c r="BB110" s="13" t="str">
        <f t="shared" si="5"/>
        <v xml:space="preserve"> Agra</v>
      </c>
      <c r="BC110" s="5" t="s">
        <v>261</v>
      </c>
      <c r="BD110" s="5" t="s">
        <v>73</v>
      </c>
      <c r="BE110" s="5" t="s">
        <v>81</v>
      </c>
      <c r="BF110" s="5" t="s">
        <v>82</v>
      </c>
      <c r="BG110" s="5" t="s">
        <v>886</v>
      </c>
      <c r="BH110" s="5" t="s">
        <v>73</v>
      </c>
      <c r="BI110" s="5" t="s">
        <v>73</v>
      </c>
      <c r="BJ110" s="5" t="s">
        <v>73</v>
      </c>
      <c r="BK110" s="5" t="s">
        <v>954</v>
      </c>
      <c r="BL110" s="5" t="s">
        <v>73</v>
      </c>
      <c r="BM110" s="12">
        <v>76</v>
      </c>
    </row>
    <row r="111" spans="1:65">
      <c r="A111" s="5" t="s">
        <v>60</v>
      </c>
      <c r="B111" s="5" t="s">
        <v>955</v>
      </c>
      <c r="C111" s="5" t="s">
        <v>956</v>
      </c>
      <c r="D111" s="5" t="s">
        <v>877</v>
      </c>
      <c r="E111" s="5" t="s">
        <v>878</v>
      </c>
      <c r="F111" s="5" t="s">
        <v>879</v>
      </c>
      <c r="G111" t="str">
        <f t="shared" si="3"/>
        <v>THE-COURAGE01</v>
      </c>
      <c r="H111" s="5" t="s">
        <v>66</v>
      </c>
      <c r="I111" s="5" t="s">
        <v>67</v>
      </c>
      <c r="J111" s="5" t="s">
        <v>67</v>
      </c>
      <c r="K111" s="5" t="s">
        <v>140</v>
      </c>
      <c r="L111" s="5" t="s">
        <v>69</v>
      </c>
      <c r="M111" s="5" t="s">
        <v>950</v>
      </c>
      <c r="N111" t="str">
        <f t="shared" si="4"/>
        <v>October</v>
      </c>
      <c r="O111" s="5" t="s">
        <v>950</v>
      </c>
      <c r="P111" s="5" t="s">
        <v>71</v>
      </c>
      <c r="Q111" s="5" t="s">
        <v>72</v>
      </c>
      <c r="R111" s="5" t="s">
        <v>73</v>
      </c>
      <c r="S111" s="5" t="s">
        <v>881</v>
      </c>
      <c r="T111" s="5" t="s">
        <v>231</v>
      </c>
      <c r="U111" s="5" t="s">
        <v>75</v>
      </c>
      <c r="V111" s="5" t="s">
        <v>231</v>
      </c>
      <c r="W111" s="5" t="s">
        <v>882</v>
      </c>
      <c r="X111" s="5" t="s">
        <v>75</v>
      </c>
      <c r="Y111" s="5" t="s">
        <v>882</v>
      </c>
      <c r="Z111" s="5" t="s">
        <v>76</v>
      </c>
      <c r="AA111" s="5" t="s">
        <v>882</v>
      </c>
      <c r="AB111" s="5" t="s">
        <v>75</v>
      </c>
      <c r="AC111" s="5" t="s">
        <v>75</v>
      </c>
      <c r="AD111" s="5" t="s">
        <v>75</v>
      </c>
      <c r="AE111" s="5" t="s">
        <v>75</v>
      </c>
      <c r="AF111" s="5" t="s">
        <v>75</v>
      </c>
      <c r="AG111" s="5" t="s">
        <v>75</v>
      </c>
      <c r="AH111" s="5" t="s">
        <v>75</v>
      </c>
      <c r="AI111" s="5" t="s">
        <v>75</v>
      </c>
      <c r="AJ111" s="5" t="s">
        <v>75</v>
      </c>
      <c r="AK111" s="5" t="s">
        <v>75</v>
      </c>
      <c r="AL111" s="5" t="s">
        <v>75</v>
      </c>
      <c r="AM111" s="5" t="s">
        <v>75</v>
      </c>
      <c r="AN111" s="5" t="s">
        <v>75</v>
      </c>
      <c r="AO111" s="5" t="s">
        <v>75</v>
      </c>
      <c r="AP111" s="5" t="s">
        <v>75</v>
      </c>
      <c r="AQ111" s="5" t="s">
        <v>75</v>
      </c>
      <c r="AR111" s="5" t="s">
        <v>75</v>
      </c>
      <c r="AS111" s="5" t="s">
        <v>75</v>
      </c>
      <c r="AT111" s="5" t="s">
        <v>75</v>
      </c>
      <c r="AU111" s="5" t="s">
        <v>957</v>
      </c>
      <c r="AV111" s="5" t="s">
        <v>952</v>
      </c>
      <c r="AW111" s="5" t="s">
        <v>882</v>
      </c>
      <c r="AX111" s="5" t="s">
        <v>958</v>
      </c>
      <c r="AY111" s="5" t="s">
        <v>80</v>
      </c>
      <c r="AZ111" s="5" t="s">
        <v>958</v>
      </c>
      <c r="BA111" s="7" t="s">
        <v>1376</v>
      </c>
      <c r="BB111" s="13" t="str">
        <f t="shared" si="5"/>
        <v xml:space="preserve"> Bengaluru</v>
      </c>
      <c r="BC111" s="5" t="s">
        <v>80</v>
      </c>
      <c r="BD111" s="5" t="s">
        <v>73</v>
      </c>
      <c r="BE111" s="5" t="s">
        <v>81</v>
      </c>
      <c r="BF111" s="5" t="s">
        <v>82</v>
      </c>
      <c r="BG111" s="5" t="s">
        <v>886</v>
      </c>
      <c r="BH111" s="5" t="s">
        <v>73</v>
      </c>
      <c r="BI111" s="5" t="s">
        <v>73</v>
      </c>
      <c r="BJ111" s="5" t="s">
        <v>73</v>
      </c>
      <c r="BK111" s="5" t="s">
        <v>959</v>
      </c>
      <c r="BL111" s="5" t="s">
        <v>73</v>
      </c>
      <c r="BM111" s="12">
        <v>81</v>
      </c>
    </row>
    <row r="112" spans="1:65">
      <c r="A112" s="5" t="s">
        <v>60</v>
      </c>
      <c r="B112" s="5" t="s">
        <v>960</v>
      </c>
      <c r="C112" s="5" t="s">
        <v>961</v>
      </c>
      <c r="D112" s="5" t="s">
        <v>877</v>
      </c>
      <c r="E112" s="5" t="s">
        <v>878</v>
      </c>
      <c r="F112" s="5" t="s">
        <v>879</v>
      </c>
      <c r="G112" t="str">
        <f t="shared" si="3"/>
        <v>THE-COURAGE01</v>
      </c>
      <c r="H112" s="5" t="s">
        <v>66</v>
      </c>
      <c r="I112" s="5" t="s">
        <v>67</v>
      </c>
      <c r="J112" s="5" t="s">
        <v>67</v>
      </c>
      <c r="K112" s="5" t="s">
        <v>140</v>
      </c>
      <c r="L112" s="5" t="s">
        <v>69</v>
      </c>
      <c r="M112" s="5" t="s">
        <v>950</v>
      </c>
      <c r="N112" t="str">
        <f t="shared" si="4"/>
        <v>October</v>
      </c>
      <c r="O112" s="5" t="s">
        <v>950</v>
      </c>
      <c r="P112" s="5" t="s">
        <v>71</v>
      </c>
      <c r="Q112" s="5" t="s">
        <v>72</v>
      </c>
      <c r="R112" s="5" t="s">
        <v>73</v>
      </c>
      <c r="S112" s="5" t="s">
        <v>881</v>
      </c>
      <c r="T112" s="5" t="s">
        <v>75</v>
      </c>
      <c r="U112" s="5" t="s">
        <v>75</v>
      </c>
      <c r="V112" s="5" t="s">
        <v>75</v>
      </c>
      <c r="W112" s="5" t="s">
        <v>881</v>
      </c>
      <c r="X112" s="5" t="s">
        <v>75</v>
      </c>
      <c r="Y112" s="5" t="s">
        <v>881</v>
      </c>
      <c r="Z112" s="5" t="s">
        <v>76</v>
      </c>
      <c r="AA112" s="5" t="s">
        <v>881</v>
      </c>
      <c r="AB112" s="5" t="s">
        <v>75</v>
      </c>
      <c r="AC112" s="5" t="s">
        <v>75</v>
      </c>
      <c r="AD112" s="5" t="s">
        <v>75</v>
      </c>
      <c r="AE112" s="5" t="s">
        <v>75</v>
      </c>
      <c r="AF112" s="5" t="s">
        <v>75</v>
      </c>
      <c r="AG112" s="5" t="s">
        <v>75</v>
      </c>
      <c r="AH112" s="5" t="s">
        <v>75</v>
      </c>
      <c r="AI112" s="5" t="s">
        <v>75</v>
      </c>
      <c r="AJ112" s="5" t="s">
        <v>75</v>
      </c>
      <c r="AK112" s="5" t="s">
        <v>75</v>
      </c>
      <c r="AL112" s="5" t="s">
        <v>75</v>
      </c>
      <c r="AM112" s="5" t="s">
        <v>75</v>
      </c>
      <c r="AN112" s="5" t="s">
        <v>75</v>
      </c>
      <c r="AO112" s="5" t="s">
        <v>75</v>
      </c>
      <c r="AP112" s="5" t="s">
        <v>75</v>
      </c>
      <c r="AQ112" s="5" t="s">
        <v>75</v>
      </c>
      <c r="AR112" s="5" t="s">
        <v>75</v>
      </c>
      <c r="AS112" s="5" t="s">
        <v>75</v>
      </c>
      <c r="AT112" s="5" t="s">
        <v>75</v>
      </c>
      <c r="AU112" s="5" t="s">
        <v>962</v>
      </c>
      <c r="AV112" s="5" t="s">
        <v>952</v>
      </c>
      <c r="AW112" s="5" t="s">
        <v>881</v>
      </c>
      <c r="AX112" s="5" t="s">
        <v>963</v>
      </c>
      <c r="AY112" s="5" t="s">
        <v>539</v>
      </c>
      <c r="AZ112" s="5" t="s">
        <v>963</v>
      </c>
      <c r="BA112" s="7" t="s">
        <v>1377</v>
      </c>
      <c r="BB112" s="13" t="str">
        <f t="shared" si="5"/>
        <v xml:space="preserve"> Jodhpur</v>
      </c>
      <c r="BC112" s="5" t="s">
        <v>539</v>
      </c>
      <c r="BD112" s="5" t="s">
        <v>73</v>
      </c>
      <c r="BE112" s="5" t="s">
        <v>81</v>
      </c>
      <c r="BF112" s="5" t="s">
        <v>82</v>
      </c>
      <c r="BG112" s="5" t="s">
        <v>964</v>
      </c>
      <c r="BH112" s="5" t="s">
        <v>73</v>
      </c>
      <c r="BI112" s="5" t="s">
        <v>73</v>
      </c>
      <c r="BJ112" s="5" t="s">
        <v>73</v>
      </c>
      <c r="BK112" s="5" t="s">
        <v>965</v>
      </c>
      <c r="BL112" s="5" t="s">
        <v>73</v>
      </c>
      <c r="BM112" s="12">
        <v>79</v>
      </c>
    </row>
    <row r="113" spans="1:65">
      <c r="A113" s="5" t="s">
        <v>60</v>
      </c>
      <c r="B113" s="5" t="s">
        <v>966</v>
      </c>
      <c r="C113" s="5" t="s">
        <v>967</v>
      </c>
      <c r="D113" s="5" t="s">
        <v>305</v>
      </c>
      <c r="E113" s="5" t="s">
        <v>306</v>
      </c>
      <c r="F113" s="5" t="s">
        <v>307</v>
      </c>
      <c r="G113" t="str">
        <f t="shared" si="3"/>
        <v>THANGRORICH</v>
      </c>
      <c r="H113" s="5" t="s">
        <v>66</v>
      </c>
      <c r="I113" s="5" t="s">
        <v>138</v>
      </c>
      <c r="J113" s="5" t="s">
        <v>139</v>
      </c>
      <c r="K113" s="5" t="s">
        <v>140</v>
      </c>
      <c r="L113" s="5" t="s">
        <v>69</v>
      </c>
      <c r="M113" s="5" t="s">
        <v>968</v>
      </c>
      <c r="N113" t="str">
        <f t="shared" si="4"/>
        <v>October</v>
      </c>
      <c r="O113" s="5" t="s">
        <v>968</v>
      </c>
      <c r="P113" s="5" t="s">
        <v>71</v>
      </c>
      <c r="Q113" s="5" t="s">
        <v>72</v>
      </c>
      <c r="R113" s="5" t="s">
        <v>73</v>
      </c>
      <c r="S113" s="5" t="s">
        <v>783</v>
      </c>
      <c r="T113" s="5" t="s">
        <v>674</v>
      </c>
      <c r="U113" s="5" t="s">
        <v>899</v>
      </c>
      <c r="V113" s="5" t="s">
        <v>900</v>
      </c>
      <c r="W113" s="5" t="s">
        <v>901</v>
      </c>
      <c r="X113" s="5" t="s">
        <v>75</v>
      </c>
      <c r="Y113" s="5" t="s">
        <v>901</v>
      </c>
      <c r="Z113" s="5" t="s">
        <v>76</v>
      </c>
      <c r="AA113" s="5" t="s">
        <v>935</v>
      </c>
      <c r="AB113" s="5" t="s">
        <v>75</v>
      </c>
      <c r="AC113" s="5" t="s">
        <v>75</v>
      </c>
      <c r="AD113" s="5" t="s">
        <v>75</v>
      </c>
      <c r="AE113" s="5" t="s">
        <v>75</v>
      </c>
      <c r="AF113" s="5" t="s">
        <v>75</v>
      </c>
      <c r="AG113" s="5" t="s">
        <v>75</v>
      </c>
      <c r="AH113" s="5" t="s">
        <v>75</v>
      </c>
      <c r="AI113" s="5" t="s">
        <v>75</v>
      </c>
      <c r="AJ113" s="5" t="s">
        <v>75</v>
      </c>
      <c r="AK113" s="5" t="s">
        <v>75</v>
      </c>
      <c r="AL113" s="5" t="s">
        <v>75</v>
      </c>
      <c r="AM113" s="5" t="s">
        <v>75</v>
      </c>
      <c r="AN113" s="5" t="s">
        <v>75</v>
      </c>
      <c r="AO113" s="5" t="s">
        <v>75</v>
      </c>
      <c r="AP113" s="5" t="s">
        <v>75</v>
      </c>
      <c r="AQ113" s="5" t="s">
        <v>75</v>
      </c>
      <c r="AR113" s="5" t="s">
        <v>75</v>
      </c>
      <c r="AS113" s="5" t="s">
        <v>75</v>
      </c>
      <c r="AT113" s="5" t="s">
        <v>75</v>
      </c>
      <c r="AU113" s="5" t="s">
        <v>969</v>
      </c>
      <c r="AV113" s="5" t="s">
        <v>970</v>
      </c>
      <c r="AW113" s="5" t="s">
        <v>935</v>
      </c>
      <c r="AX113" s="5" t="s">
        <v>971</v>
      </c>
      <c r="AY113" s="5" t="s">
        <v>224</v>
      </c>
      <c r="AZ113" s="5" t="s">
        <v>971</v>
      </c>
      <c r="BA113" s="7" t="s">
        <v>1378</v>
      </c>
      <c r="BB113" s="13" t="str">
        <f t="shared" si="5"/>
        <v xml:space="preserve"> Howrah</v>
      </c>
      <c r="BC113" s="5" t="s">
        <v>224</v>
      </c>
      <c r="BD113" s="5" t="s">
        <v>73</v>
      </c>
      <c r="BE113" s="5" t="s">
        <v>81</v>
      </c>
      <c r="BF113" s="5" t="s">
        <v>82</v>
      </c>
      <c r="BG113" s="5" t="s">
        <v>906</v>
      </c>
      <c r="BH113" s="5" t="s">
        <v>73</v>
      </c>
      <c r="BI113" s="5" t="s">
        <v>73</v>
      </c>
      <c r="BJ113" s="5" t="s">
        <v>73</v>
      </c>
      <c r="BK113" s="5" t="s">
        <v>972</v>
      </c>
      <c r="BL113" s="5" t="s">
        <v>73</v>
      </c>
      <c r="BM113" s="12">
        <v>88</v>
      </c>
    </row>
    <row r="114" spans="1:65">
      <c r="A114" s="5" t="s">
        <v>60</v>
      </c>
      <c r="B114" s="5" t="s">
        <v>973</v>
      </c>
      <c r="C114" s="5" t="s">
        <v>974</v>
      </c>
      <c r="D114" s="5" t="s">
        <v>877</v>
      </c>
      <c r="E114" s="5" t="s">
        <v>878</v>
      </c>
      <c r="F114" s="5" t="s">
        <v>879</v>
      </c>
      <c r="G114" t="str">
        <f t="shared" si="3"/>
        <v>THE-COURAGE01</v>
      </c>
      <c r="H114" s="5" t="s">
        <v>66</v>
      </c>
      <c r="I114" s="5" t="s">
        <v>67</v>
      </c>
      <c r="J114" s="5" t="s">
        <v>67</v>
      </c>
      <c r="K114" s="5" t="s">
        <v>68</v>
      </c>
      <c r="L114" s="5" t="s">
        <v>69</v>
      </c>
      <c r="M114" s="5" t="s">
        <v>950</v>
      </c>
      <c r="N114" t="str">
        <f t="shared" si="4"/>
        <v>October</v>
      </c>
      <c r="O114" s="5" t="s">
        <v>950</v>
      </c>
      <c r="P114" s="5" t="s">
        <v>71</v>
      </c>
      <c r="Q114" s="5" t="s">
        <v>72</v>
      </c>
      <c r="R114" s="5" t="s">
        <v>73</v>
      </c>
      <c r="S114" s="5" t="s">
        <v>881</v>
      </c>
      <c r="T114" s="5" t="s">
        <v>231</v>
      </c>
      <c r="U114" s="5" t="s">
        <v>75</v>
      </c>
      <c r="V114" s="5" t="s">
        <v>231</v>
      </c>
      <c r="W114" s="5" t="s">
        <v>882</v>
      </c>
      <c r="X114" s="5" t="s">
        <v>75</v>
      </c>
      <c r="Y114" s="5" t="s">
        <v>882</v>
      </c>
      <c r="Z114" s="5" t="s">
        <v>76</v>
      </c>
      <c r="AA114" s="5" t="s">
        <v>882</v>
      </c>
      <c r="AB114" s="5" t="s">
        <v>75</v>
      </c>
      <c r="AC114" s="5" t="s">
        <v>75</v>
      </c>
      <c r="AD114" s="5" t="s">
        <v>75</v>
      </c>
      <c r="AE114" s="5" t="s">
        <v>75</v>
      </c>
      <c r="AF114" s="5" t="s">
        <v>75</v>
      </c>
      <c r="AG114" s="5" t="s">
        <v>75</v>
      </c>
      <c r="AH114" s="5" t="s">
        <v>75</v>
      </c>
      <c r="AI114" s="5" t="s">
        <v>75</v>
      </c>
      <c r="AJ114" s="5" t="s">
        <v>75</v>
      </c>
      <c r="AK114" s="5" t="s">
        <v>75</v>
      </c>
      <c r="AL114" s="5" t="s">
        <v>75</v>
      </c>
      <c r="AM114" s="5" t="s">
        <v>75</v>
      </c>
      <c r="AN114" s="5" t="s">
        <v>75</v>
      </c>
      <c r="AO114" s="5" t="s">
        <v>75</v>
      </c>
      <c r="AP114" s="5" t="s">
        <v>75</v>
      </c>
      <c r="AQ114" s="5" t="s">
        <v>75</v>
      </c>
      <c r="AR114" s="5" t="s">
        <v>75</v>
      </c>
      <c r="AS114" s="5" t="s">
        <v>75</v>
      </c>
      <c r="AT114" s="5" t="s">
        <v>75</v>
      </c>
      <c r="AU114" s="5" t="s">
        <v>975</v>
      </c>
      <c r="AV114" s="5" t="s">
        <v>976</v>
      </c>
      <c r="AW114" s="5" t="s">
        <v>882</v>
      </c>
      <c r="AX114" s="5" t="s">
        <v>977</v>
      </c>
      <c r="AY114" s="5" t="s">
        <v>117</v>
      </c>
      <c r="AZ114" s="5" t="s">
        <v>977</v>
      </c>
      <c r="BA114" s="7" t="s">
        <v>1379</v>
      </c>
      <c r="BB114" s="13" t="str">
        <f t="shared" si="5"/>
        <v xml:space="preserve"> Pune</v>
      </c>
      <c r="BC114" s="5" t="s">
        <v>117</v>
      </c>
      <c r="BD114" s="5" t="s">
        <v>73</v>
      </c>
      <c r="BE114" s="5" t="s">
        <v>81</v>
      </c>
      <c r="BF114" s="5" t="s">
        <v>82</v>
      </c>
      <c r="BG114" s="5" t="s">
        <v>886</v>
      </c>
      <c r="BH114" s="5" t="s">
        <v>73</v>
      </c>
      <c r="BI114" s="5" t="s">
        <v>73</v>
      </c>
      <c r="BJ114" s="5" t="s">
        <v>73</v>
      </c>
      <c r="BK114" s="5" t="s">
        <v>978</v>
      </c>
      <c r="BL114" s="5" t="s">
        <v>73</v>
      </c>
      <c r="BM114" s="12">
        <v>75</v>
      </c>
    </row>
    <row r="115" spans="1:65">
      <c r="A115" s="5" t="s">
        <v>60</v>
      </c>
      <c r="B115" s="5" t="s">
        <v>979</v>
      </c>
      <c r="C115" s="5" t="s">
        <v>980</v>
      </c>
      <c r="D115" s="5" t="s">
        <v>877</v>
      </c>
      <c r="E115" s="5" t="s">
        <v>878</v>
      </c>
      <c r="F115" s="5" t="s">
        <v>879</v>
      </c>
      <c r="G115" t="str">
        <f t="shared" si="3"/>
        <v>THE-COURAGE01</v>
      </c>
      <c r="H115" s="5" t="s">
        <v>66</v>
      </c>
      <c r="I115" s="5" t="s">
        <v>67</v>
      </c>
      <c r="J115" s="5" t="s">
        <v>67</v>
      </c>
      <c r="K115" s="5" t="s">
        <v>68</v>
      </c>
      <c r="L115" s="5" t="s">
        <v>69</v>
      </c>
      <c r="M115" s="5" t="s">
        <v>950</v>
      </c>
      <c r="N115" t="str">
        <f t="shared" si="4"/>
        <v>October</v>
      </c>
      <c r="O115" s="5" t="s">
        <v>950</v>
      </c>
      <c r="P115" s="5" t="s">
        <v>71</v>
      </c>
      <c r="Q115" s="5" t="s">
        <v>72</v>
      </c>
      <c r="R115" s="5" t="s">
        <v>73</v>
      </c>
      <c r="S115" s="5" t="s">
        <v>881</v>
      </c>
      <c r="T115" s="5" t="s">
        <v>75</v>
      </c>
      <c r="U115" s="5" t="s">
        <v>75</v>
      </c>
      <c r="V115" s="5" t="s">
        <v>75</v>
      </c>
      <c r="W115" s="5" t="s">
        <v>881</v>
      </c>
      <c r="X115" s="5" t="s">
        <v>75</v>
      </c>
      <c r="Y115" s="5" t="s">
        <v>881</v>
      </c>
      <c r="Z115" s="5" t="s">
        <v>76</v>
      </c>
      <c r="AA115" s="5" t="s">
        <v>881</v>
      </c>
      <c r="AB115" s="5" t="s">
        <v>75</v>
      </c>
      <c r="AC115" s="5" t="s">
        <v>75</v>
      </c>
      <c r="AD115" s="5" t="s">
        <v>75</v>
      </c>
      <c r="AE115" s="5" t="s">
        <v>75</v>
      </c>
      <c r="AF115" s="5" t="s">
        <v>75</v>
      </c>
      <c r="AG115" s="5" t="s">
        <v>75</v>
      </c>
      <c r="AH115" s="5" t="s">
        <v>75</v>
      </c>
      <c r="AI115" s="5" t="s">
        <v>75</v>
      </c>
      <c r="AJ115" s="5" t="s">
        <v>75</v>
      </c>
      <c r="AK115" s="5" t="s">
        <v>75</v>
      </c>
      <c r="AL115" s="5" t="s">
        <v>75</v>
      </c>
      <c r="AM115" s="5" t="s">
        <v>75</v>
      </c>
      <c r="AN115" s="5" t="s">
        <v>75</v>
      </c>
      <c r="AO115" s="5" t="s">
        <v>75</v>
      </c>
      <c r="AP115" s="5" t="s">
        <v>75</v>
      </c>
      <c r="AQ115" s="5" t="s">
        <v>75</v>
      </c>
      <c r="AR115" s="5" t="s">
        <v>75</v>
      </c>
      <c r="AS115" s="5" t="s">
        <v>75</v>
      </c>
      <c r="AT115" s="5" t="s">
        <v>75</v>
      </c>
      <c r="AU115" s="5" t="s">
        <v>981</v>
      </c>
      <c r="AV115" s="5" t="s">
        <v>976</v>
      </c>
      <c r="AW115" s="5" t="s">
        <v>881</v>
      </c>
      <c r="AX115" s="5" t="s">
        <v>982</v>
      </c>
      <c r="AY115" s="5" t="s">
        <v>80</v>
      </c>
      <c r="AZ115" s="5" t="s">
        <v>982</v>
      </c>
      <c r="BA115" s="11" t="s">
        <v>1431</v>
      </c>
      <c r="BB115" s="13" t="str">
        <f t="shared" si="5"/>
        <v xml:space="preserve"> Bengaluru</v>
      </c>
      <c r="BC115" s="5" t="s">
        <v>80</v>
      </c>
      <c r="BD115" s="5" t="s">
        <v>73</v>
      </c>
      <c r="BE115" s="5" t="s">
        <v>81</v>
      </c>
      <c r="BF115" s="5" t="s">
        <v>82</v>
      </c>
      <c r="BG115" s="5" t="s">
        <v>964</v>
      </c>
      <c r="BH115" s="5" t="s">
        <v>73</v>
      </c>
      <c r="BI115" s="5" t="s">
        <v>73</v>
      </c>
      <c r="BJ115" s="5" t="s">
        <v>73</v>
      </c>
      <c r="BK115" s="5" t="s">
        <v>983</v>
      </c>
      <c r="BL115" s="5" t="s">
        <v>73</v>
      </c>
      <c r="BM115" s="12">
        <v>83</v>
      </c>
    </row>
    <row r="116" spans="1:65">
      <c r="A116" s="5" t="s">
        <v>60</v>
      </c>
      <c r="B116" s="5" t="s">
        <v>984</v>
      </c>
      <c r="C116" s="5" t="s">
        <v>985</v>
      </c>
      <c r="D116" s="5" t="s">
        <v>877</v>
      </c>
      <c r="E116" s="5" t="s">
        <v>878</v>
      </c>
      <c r="F116" s="5" t="s">
        <v>879</v>
      </c>
      <c r="G116" t="str">
        <f t="shared" si="3"/>
        <v>THE-COURAGE01</v>
      </c>
      <c r="H116" s="5" t="s">
        <v>66</v>
      </c>
      <c r="I116" s="5" t="s">
        <v>67</v>
      </c>
      <c r="J116" s="5" t="s">
        <v>67</v>
      </c>
      <c r="K116" s="5" t="s">
        <v>68</v>
      </c>
      <c r="L116" s="5" t="s">
        <v>69</v>
      </c>
      <c r="M116" s="5" t="s">
        <v>950</v>
      </c>
      <c r="N116" t="str">
        <f t="shared" si="4"/>
        <v>October</v>
      </c>
      <c r="O116" s="5" t="s">
        <v>950</v>
      </c>
      <c r="P116" s="5" t="s">
        <v>71</v>
      </c>
      <c r="Q116" s="5" t="s">
        <v>72</v>
      </c>
      <c r="R116" s="5" t="s">
        <v>73</v>
      </c>
      <c r="S116" s="5" t="s">
        <v>881</v>
      </c>
      <c r="T116" s="5" t="s">
        <v>75</v>
      </c>
      <c r="U116" s="5" t="s">
        <v>75</v>
      </c>
      <c r="V116" s="5" t="s">
        <v>75</v>
      </c>
      <c r="W116" s="5" t="s">
        <v>881</v>
      </c>
      <c r="X116" s="5" t="s">
        <v>75</v>
      </c>
      <c r="Y116" s="5" t="s">
        <v>881</v>
      </c>
      <c r="Z116" s="5" t="s">
        <v>76</v>
      </c>
      <c r="AA116" s="5" t="s">
        <v>881</v>
      </c>
      <c r="AB116" s="5" t="s">
        <v>75</v>
      </c>
      <c r="AC116" s="5" t="s">
        <v>75</v>
      </c>
      <c r="AD116" s="5" t="s">
        <v>75</v>
      </c>
      <c r="AE116" s="5" t="s">
        <v>75</v>
      </c>
      <c r="AF116" s="5" t="s">
        <v>75</v>
      </c>
      <c r="AG116" s="5" t="s">
        <v>75</v>
      </c>
      <c r="AH116" s="5" t="s">
        <v>75</v>
      </c>
      <c r="AI116" s="5" t="s">
        <v>75</v>
      </c>
      <c r="AJ116" s="5" t="s">
        <v>75</v>
      </c>
      <c r="AK116" s="5" t="s">
        <v>75</v>
      </c>
      <c r="AL116" s="5" t="s">
        <v>75</v>
      </c>
      <c r="AM116" s="5" t="s">
        <v>75</v>
      </c>
      <c r="AN116" s="5" t="s">
        <v>75</v>
      </c>
      <c r="AO116" s="5" t="s">
        <v>75</v>
      </c>
      <c r="AP116" s="5" t="s">
        <v>75</v>
      </c>
      <c r="AQ116" s="5" t="s">
        <v>75</v>
      </c>
      <c r="AR116" s="5" t="s">
        <v>75</v>
      </c>
      <c r="AS116" s="5" t="s">
        <v>75</v>
      </c>
      <c r="AT116" s="5" t="s">
        <v>75</v>
      </c>
      <c r="AU116" s="5" t="s">
        <v>986</v>
      </c>
      <c r="AV116" s="5" t="s">
        <v>976</v>
      </c>
      <c r="AW116" s="5" t="s">
        <v>881</v>
      </c>
      <c r="AX116" s="5" t="s">
        <v>987</v>
      </c>
      <c r="AY116" s="5" t="s">
        <v>715</v>
      </c>
      <c r="AZ116" s="5" t="s">
        <v>987</v>
      </c>
      <c r="BA116" s="7" t="s">
        <v>1380</v>
      </c>
      <c r="BB116" s="13" t="str">
        <f t="shared" si="5"/>
        <v xml:space="preserve"> Ambala</v>
      </c>
      <c r="BC116" s="5" t="s">
        <v>715</v>
      </c>
      <c r="BD116" s="5" t="s">
        <v>73</v>
      </c>
      <c r="BE116" s="5" t="s">
        <v>81</v>
      </c>
      <c r="BF116" s="5" t="s">
        <v>82</v>
      </c>
      <c r="BG116" s="5" t="s">
        <v>964</v>
      </c>
      <c r="BH116" s="5" t="s">
        <v>73</v>
      </c>
      <c r="BI116" s="5" t="s">
        <v>73</v>
      </c>
      <c r="BJ116" s="5" t="s">
        <v>73</v>
      </c>
      <c r="BK116" s="5" t="s">
        <v>988</v>
      </c>
      <c r="BL116" s="5" t="s">
        <v>73</v>
      </c>
      <c r="BM116" s="12">
        <v>71</v>
      </c>
    </row>
    <row r="117" spans="1:65">
      <c r="A117" s="5" t="s">
        <v>60</v>
      </c>
      <c r="B117" s="5" t="s">
        <v>989</v>
      </c>
      <c r="C117" s="5" t="s">
        <v>990</v>
      </c>
      <c r="D117" s="5" t="s">
        <v>877</v>
      </c>
      <c r="E117" s="5" t="s">
        <v>878</v>
      </c>
      <c r="F117" s="5" t="s">
        <v>879</v>
      </c>
      <c r="G117" t="str">
        <f t="shared" si="3"/>
        <v>THE-COURAGE01</v>
      </c>
      <c r="H117" s="5" t="s">
        <v>66</v>
      </c>
      <c r="I117" s="5" t="s">
        <v>67</v>
      </c>
      <c r="J117" s="5" t="s">
        <v>67</v>
      </c>
      <c r="K117" s="5" t="s">
        <v>140</v>
      </c>
      <c r="L117" s="5" t="s">
        <v>69</v>
      </c>
      <c r="M117" s="5" t="s">
        <v>950</v>
      </c>
      <c r="N117" t="str">
        <f t="shared" si="4"/>
        <v>October</v>
      </c>
      <c r="O117" s="5" t="s">
        <v>950</v>
      </c>
      <c r="P117" s="5" t="s">
        <v>71</v>
      </c>
      <c r="Q117" s="5" t="s">
        <v>72</v>
      </c>
      <c r="R117" s="5" t="s">
        <v>73</v>
      </c>
      <c r="S117" s="5" t="s">
        <v>881</v>
      </c>
      <c r="T117" s="5" t="s">
        <v>725</v>
      </c>
      <c r="U117" s="5" t="s">
        <v>75</v>
      </c>
      <c r="V117" s="5" t="s">
        <v>725</v>
      </c>
      <c r="W117" s="5" t="s">
        <v>991</v>
      </c>
      <c r="X117" s="5" t="s">
        <v>75</v>
      </c>
      <c r="Y117" s="5" t="s">
        <v>991</v>
      </c>
      <c r="Z117" s="5" t="s">
        <v>76</v>
      </c>
      <c r="AA117" s="5" t="s">
        <v>991</v>
      </c>
      <c r="AB117" s="5" t="s">
        <v>75</v>
      </c>
      <c r="AC117" s="5" t="s">
        <v>75</v>
      </c>
      <c r="AD117" s="5" t="s">
        <v>75</v>
      </c>
      <c r="AE117" s="5" t="s">
        <v>75</v>
      </c>
      <c r="AF117" s="5" t="s">
        <v>75</v>
      </c>
      <c r="AG117" s="5" t="s">
        <v>75</v>
      </c>
      <c r="AH117" s="5" t="s">
        <v>75</v>
      </c>
      <c r="AI117" s="5" t="s">
        <v>75</v>
      </c>
      <c r="AJ117" s="5" t="s">
        <v>75</v>
      </c>
      <c r="AK117" s="5" t="s">
        <v>75</v>
      </c>
      <c r="AL117" s="5" t="s">
        <v>75</v>
      </c>
      <c r="AM117" s="5" t="s">
        <v>75</v>
      </c>
      <c r="AN117" s="5" t="s">
        <v>75</v>
      </c>
      <c r="AO117" s="5" t="s">
        <v>75</v>
      </c>
      <c r="AP117" s="5" t="s">
        <v>75</v>
      </c>
      <c r="AQ117" s="5" t="s">
        <v>75</v>
      </c>
      <c r="AR117" s="5" t="s">
        <v>75</v>
      </c>
      <c r="AS117" s="5" t="s">
        <v>75</v>
      </c>
      <c r="AT117" s="5" t="s">
        <v>75</v>
      </c>
      <c r="AU117" s="5" t="s">
        <v>992</v>
      </c>
      <c r="AV117" s="5" t="s">
        <v>976</v>
      </c>
      <c r="AW117" s="5" t="s">
        <v>991</v>
      </c>
      <c r="AX117" s="5" t="s">
        <v>993</v>
      </c>
      <c r="AY117" s="5" t="s">
        <v>563</v>
      </c>
      <c r="AZ117" s="5" t="s">
        <v>993</v>
      </c>
      <c r="BA117" s="7" t="s">
        <v>1381</v>
      </c>
      <c r="BB117" s="13" t="str">
        <f t="shared" si="5"/>
        <v xml:space="preserve"> Hazaribagh</v>
      </c>
      <c r="BC117" s="5" t="s">
        <v>563</v>
      </c>
      <c r="BD117" s="5" t="s">
        <v>73</v>
      </c>
      <c r="BE117" s="5" t="s">
        <v>81</v>
      </c>
      <c r="BF117" s="5" t="s">
        <v>82</v>
      </c>
      <c r="BG117" s="5" t="s">
        <v>82</v>
      </c>
      <c r="BH117" s="5" t="s">
        <v>73</v>
      </c>
      <c r="BI117" s="5" t="s">
        <v>73</v>
      </c>
      <c r="BJ117" s="5" t="s">
        <v>73</v>
      </c>
      <c r="BK117" s="5" t="s">
        <v>994</v>
      </c>
      <c r="BL117" s="5" t="s">
        <v>73</v>
      </c>
      <c r="BM117" s="12">
        <v>87</v>
      </c>
    </row>
    <row r="118" spans="1:65">
      <c r="A118" s="5" t="s">
        <v>60</v>
      </c>
      <c r="B118" s="5" t="s">
        <v>995</v>
      </c>
      <c r="C118" s="5" t="s">
        <v>996</v>
      </c>
      <c r="D118" s="5" t="s">
        <v>877</v>
      </c>
      <c r="E118" s="5" t="s">
        <v>878</v>
      </c>
      <c r="F118" s="5" t="s">
        <v>879</v>
      </c>
      <c r="G118" t="str">
        <f t="shared" si="3"/>
        <v>THE-COURAGE01</v>
      </c>
      <c r="H118" s="5" t="s">
        <v>66</v>
      </c>
      <c r="I118" s="5" t="s">
        <v>67</v>
      </c>
      <c r="J118" s="5" t="s">
        <v>67</v>
      </c>
      <c r="K118" s="5" t="s">
        <v>68</v>
      </c>
      <c r="L118" s="5" t="s">
        <v>69</v>
      </c>
      <c r="M118" s="5" t="s">
        <v>950</v>
      </c>
      <c r="N118" t="str">
        <f t="shared" si="4"/>
        <v>October</v>
      </c>
      <c r="O118" s="5" t="s">
        <v>950</v>
      </c>
      <c r="P118" s="5" t="s">
        <v>71</v>
      </c>
      <c r="Q118" s="5" t="s">
        <v>72</v>
      </c>
      <c r="R118" s="5" t="s">
        <v>73</v>
      </c>
      <c r="S118" s="5" t="s">
        <v>881</v>
      </c>
      <c r="T118" s="5" t="s">
        <v>231</v>
      </c>
      <c r="U118" s="5" t="s">
        <v>75</v>
      </c>
      <c r="V118" s="5" t="s">
        <v>231</v>
      </c>
      <c r="W118" s="5" t="s">
        <v>882</v>
      </c>
      <c r="X118" s="5" t="s">
        <v>75</v>
      </c>
      <c r="Y118" s="5" t="s">
        <v>882</v>
      </c>
      <c r="Z118" s="5" t="s">
        <v>76</v>
      </c>
      <c r="AA118" s="5" t="s">
        <v>882</v>
      </c>
      <c r="AB118" s="5" t="s">
        <v>75</v>
      </c>
      <c r="AC118" s="5" t="s">
        <v>75</v>
      </c>
      <c r="AD118" s="5" t="s">
        <v>75</v>
      </c>
      <c r="AE118" s="5" t="s">
        <v>75</v>
      </c>
      <c r="AF118" s="5" t="s">
        <v>75</v>
      </c>
      <c r="AG118" s="5" t="s">
        <v>75</v>
      </c>
      <c r="AH118" s="5" t="s">
        <v>75</v>
      </c>
      <c r="AI118" s="5" t="s">
        <v>75</v>
      </c>
      <c r="AJ118" s="5" t="s">
        <v>75</v>
      </c>
      <c r="AK118" s="5" t="s">
        <v>75</v>
      </c>
      <c r="AL118" s="5" t="s">
        <v>75</v>
      </c>
      <c r="AM118" s="5" t="s">
        <v>75</v>
      </c>
      <c r="AN118" s="5" t="s">
        <v>75</v>
      </c>
      <c r="AO118" s="5" t="s">
        <v>75</v>
      </c>
      <c r="AP118" s="5" t="s">
        <v>75</v>
      </c>
      <c r="AQ118" s="5" t="s">
        <v>75</v>
      </c>
      <c r="AR118" s="5" t="s">
        <v>75</v>
      </c>
      <c r="AS118" s="5" t="s">
        <v>75</v>
      </c>
      <c r="AT118" s="5" t="s">
        <v>75</v>
      </c>
      <c r="AU118" s="5" t="s">
        <v>997</v>
      </c>
      <c r="AV118" s="5" t="s">
        <v>976</v>
      </c>
      <c r="AW118" s="5" t="s">
        <v>882</v>
      </c>
      <c r="AX118" s="5" t="s">
        <v>998</v>
      </c>
      <c r="AY118" s="5" t="s">
        <v>261</v>
      </c>
      <c r="AZ118" s="5" t="s">
        <v>998</v>
      </c>
      <c r="BA118" s="7" t="s">
        <v>1382</v>
      </c>
      <c r="BB118" s="13" t="str">
        <f t="shared" si="5"/>
        <v xml:space="preserve"> Meerut</v>
      </c>
      <c r="BC118" s="5" t="s">
        <v>261</v>
      </c>
      <c r="BD118" s="5" t="s">
        <v>73</v>
      </c>
      <c r="BE118" s="5" t="s">
        <v>81</v>
      </c>
      <c r="BF118" s="5" t="s">
        <v>82</v>
      </c>
      <c r="BG118" s="5" t="s">
        <v>886</v>
      </c>
      <c r="BH118" s="5" t="s">
        <v>73</v>
      </c>
      <c r="BI118" s="5" t="s">
        <v>73</v>
      </c>
      <c r="BJ118" s="5" t="s">
        <v>73</v>
      </c>
      <c r="BK118" s="5" t="s">
        <v>999</v>
      </c>
      <c r="BL118" s="5" t="s">
        <v>73</v>
      </c>
      <c r="BM118" s="12">
        <v>82</v>
      </c>
    </row>
    <row r="119" spans="1:65">
      <c r="A119" s="5" t="s">
        <v>60</v>
      </c>
      <c r="B119" s="5" t="s">
        <v>1000</v>
      </c>
      <c r="C119" s="5" t="s">
        <v>1001</v>
      </c>
      <c r="D119" s="5" t="s">
        <v>877</v>
      </c>
      <c r="E119" s="5" t="s">
        <v>878</v>
      </c>
      <c r="F119" s="5" t="s">
        <v>879</v>
      </c>
      <c r="G119" t="str">
        <f t="shared" si="3"/>
        <v>THE-COURAGE01</v>
      </c>
      <c r="H119" s="5" t="s">
        <v>66</v>
      </c>
      <c r="I119" s="5" t="s">
        <v>67</v>
      </c>
      <c r="J119" s="5" t="s">
        <v>67</v>
      </c>
      <c r="K119" s="5" t="s">
        <v>68</v>
      </c>
      <c r="L119" s="5" t="s">
        <v>69</v>
      </c>
      <c r="M119" s="5" t="s">
        <v>950</v>
      </c>
      <c r="N119" t="str">
        <f t="shared" si="4"/>
        <v>October</v>
      </c>
      <c r="O119" s="5" t="s">
        <v>950</v>
      </c>
      <c r="P119" s="5" t="s">
        <v>71</v>
      </c>
      <c r="Q119" s="5" t="s">
        <v>72</v>
      </c>
      <c r="R119" s="5" t="s">
        <v>73</v>
      </c>
      <c r="S119" s="5" t="s">
        <v>881</v>
      </c>
      <c r="T119" s="5" t="s">
        <v>231</v>
      </c>
      <c r="U119" s="5" t="s">
        <v>75</v>
      </c>
      <c r="V119" s="5" t="s">
        <v>231</v>
      </c>
      <c r="W119" s="5" t="s">
        <v>882</v>
      </c>
      <c r="X119" s="5" t="s">
        <v>75</v>
      </c>
      <c r="Y119" s="5" t="s">
        <v>882</v>
      </c>
      <c r="Z119" s="5" t="s">
        <v>76</v>
      </c>
      <c r="AA119" s="5" t="s">
        <v>882</v>
      </c>
      <c r="AB119" s="5" t="s">
        <v>75</v>
      </c>
      <c r="AC119" s="5" t="s">
        <v>75</v>
      </c>
      <c r="AD119" s="5" t="s">
        <v>75</v>
      </c>
      <c r="AE119" s="5" t="s">
        <v>75</v>
      </c>
      <c r="AF119" s="5" t="s">
        <v>75</v>
      </c>
      <c r="AG119" s="5" t="s">
        <v>75</v>
      </c>
      <c r="AH119" s="5" t="s">
        <v>75</v>
      </c>
      <c r="AI119" s="5" t="s">
        <v>75</v>
      </c>
      <c r="AJ119" s="5" t="s">
        <v>75</v>
      </c>
      <c r="AK119" s="5" t="s">
        <v>75</v>
      </c>
      <c r="AL119" s="5" t="s">
        <v>75</v>
      </c>
      <c r="AM119" s="5" t="s">
        <v>75</v>
      </c>
      <c r="AN119" s="5" t="s">
        <v>75</v>
      </c>
      <c r="AO119" s="5" t="s">
        <v>75</v>
      </c>
      <c r="AP119" s="5" t="s">
        <v>75</v>
      </c>
      <c r="AQ119" s="5" t="s">
        <v>75</v>
      </c>
      <c r="AR119" s="5" t="s">
        <v>75</v>
      </c>
      <c r="AS119" s="5" t="s">
        <v>75</v>
      </c>
      <c r="AT119" s="5" t="s">
        <v>75</v>
      </c>
      <c r="AU119" s="5" t="s">
        <v>1002</v>
      </c>
      <c r="AV119" s="5" t="s">
        <v>976</v>
      </c>
      <c r="AW119" s="5" t="s">
        <v>882</v>
      </c>
      <c r="AX119" s="5" t="s">
        <v>1003</v>
      </c>
      <c r="AY119" s="5" t="s">
        <v>117</v>
      </c>
      <c r="AZ119" s="5" t="s">
        <v>1003</v>
      </c>
      <c r="BA119" s="7" t="s">
        <v>1383</v>
      </c>
      <c r="BB119" s="13" t="str">
        <f t="shared" si="5"/>
        <v xml:space="preserve"> Akola</v>
      </c>
      <c r="BC119" s="5" t="s">
        <v>117</v>
      </c>
      <c r="BD119" s="5" t="s">
        <v>73</v>
      </c>
      <c r="BE119" s="5" t="s">
        <v>81</v>
      </c>
      <c r="BF119" s="5" t="s">
        <v>82</v>
      </c>
      <c r="BG119" s="5" t="s">
        <v>886</v>
      </c>
      <c r="BH119" s="5" t="s">
        <v>73</v>
      </c>
      <c r="BI119" s="5" t="s">
        <v>73</v>
      </c>
      <c r="BJ119" s="5" t="s">
        <v>73</v>
      </c>
      <c r="BK119" s="5" t="s">
        <v>1004</v>
      </c>
      <c r="BL119" s="5" t="s">
        <v>73</v>
      </c>
      <c r="BM119" s="12">
        <v>89</v>
      </c>
    </row>
    <row r="120" spans="1:65">
      <c r="A120" s="5" t="s">
        <v>60</v>
      </c>
      <c r="B120" s="5" t="s">
        <v>1005</v>
      </c>
      <c r="C120" s="5" t="s">
        <v>1006</v>
      </c>
      <c r="D120" s="5" t="s">
        <v>793</v>
      </c>
      <c r="E120" s="5" t="s">
        <v>794</v>
      </c>
      <c r="F120" s="5" t="s">
        <v>795</v>
      </c>
      <c r="G120" t="str">
        <f t="shared" si="3"/>
        <v>THE-MAGIC-IKIGAI</v>
      </c>
      <c r="H120" s="5" t="s">
        <v>66</v>
      </c>
      <c r="I120" s="5" t="s">
        <v>67</v>
      </c>
      <c r="J120" s="5" t="s">
        <v>67</v>
      </c>
      <c r="K120" s="5" t="s">
        <v>140</v>
      </c>
      <c r="L120" s="5" t="s">
        <v>69</v>
      </c>
      <c r="M120" s="5" t="s">
        <v>1007</v>
      </c>
      <c r="N120" t="str">
        <f t="shared" si="4"/>
        <v>October</v>
      </c>
      <c r="O120" s="5" t="s">
        <v>1007</v>
      </c>
      <c r="P120" s="5" t="s">
        <v>71</v>
      </c>
      <c r="Q120" s="5" t="s">
        <v>72</v>
      </c>
      <c r="R120" s="5" t="s">
        <v>73</v>
      </c>
      <c r="S120" s="5" t="s">
        <v>628</v>
      </c>
      <c r="T120" s="5" t="s">
        <v>725</v>
      </c>
      <c r="U120" s="5" t="s">
        <v>849</v>
      </c>
      <c r="V120" s="5" t="s">
        <v>850</v>
      </c>
      <c r="W120" s="5" t="s">
        <v>851</v>
      </c>
      <c r="X120" s="5" t="s">
        <v>75</v>
      </c>
      <c r="Y120" s="5" t="s">
        <v>851</v>
      </c>
      <c r="Z120" s="5" t="s">
        <v>76</v>
      </c>
      <c r="AA120" s="5" t="s">
        <v>851</v>
      </c>
      <c r="AB120" s="5" t="s">
        <v>75</v>
      </c>
      <c r="AC120" s="5" t="s">
        <v>75</v>
      </c>
      <c r="AD120" s="5" t="s">
        <v>75</v>
      </c>
      <c r="AE120" s="5" t="s">
        <v>75</v>
      </c>
      <c r="AF120" s="5" t="s">
        <v>75</v>
      </c>
      <c r="AG120" s="5" t="s">
        <v>75</v>
      </c>
      <c r="AH120" s="5" t="s">
        <v>75</v>
      </c>
      <c r="AI120" s="5" t="s">
        <v>75</v>
      </c>
      <c r="AJ120" s="5" t="s">
        <v>75</v>
      </c>
      <c r="AK120" s="5" t="s">
        <v>75</v>
      </c>
      <c r="AL120" s="5" t="s">
        <v>75</v>
      </c>
      <c r="AM120" s="5" t="s">
        <v>75</v>
      </c>
      <c r="AN120" s="5" t="s">
        <v>75</v>
      </c>
      <c r="AO120" s="5" t="s">
        <v>75</v>
      </c>
      <c r="AP120" s="5" t="s">
        <v>75</v>
      </c>
      <c r="AQ120" s="5" t="s">
        <v>75</v>
      </c>
      <c r="AR120" s="5" t="s">
        <v>75</v>
      </c>
      <c r="AS120" s="5" t="s">
        <v>75</v>
      </c>
      <c r="AT120" s="5" t="s">
        <v>75</v>
      </c>
      <c r="AU120" s="5" t="s">
        <v>1008</v>
      </c>
      <c r="AV120" s="5" t="s">
        <v>1009</v>
      </c>
      <c r="AW120" s="5" t="s">
        <v>851</v>
      </c>
      <c r="AX120" s="5" t="s">
        <v>1010</v>
      </c>
      <c r="AY120" s="5" t="s">
        <v>117</v>
      </c>
      <c r="AZ120" s="5" t="s">
        <v>1010</v>
      </c>
      <c r="BA120" s="12" t="s">
        <v>1432</v>
      </c>
      <c r="BB120" s="13" t="str">
        <f t="shared" si="5"/>
        <v xml:space="preserve"> Solapur</v>
      </c>
      <c r="BC120" s="5" t="s">
        <v>117</v>
      </c>
      <c r="BD120" s="5" t="s">
        <v>73</v>
      </c>
      <c r="BE120" s="5" t="s">
        <v>81</v>
      </c>
      <c r="BF120" s="5" t="s">
        <v>82</v>
      </c>
      <c r="BG120" s="5" t="s">
        <v>856</v>
      </c>
      <c r="BH120" s="5" t="s">
        <v>73</v>
      </c>
      <c r="BI120" s="5" t="s">
        <v>73</v>
      </c>
      <c r="BJ120" s="5" t="s">
        <v>73</v>
      </c>
      <c r="BK120" s="5" t="s">
        <v>1011</v>
      </c>
      <c r="BL120" s="5" t="s">
        <v>73</v>
      </c>
      <c r="BM120" s="12">
        <v>73</v>
      </c>
    </row>
    <row r="121" spans="1:65">
      <c r="A121" s="5" t="s">
        <v>60</v>
      </c>
      <c r="B121" s="5" t="s">
        <v>1012</v>
      </c>
      <c r="C121" s="5" t="s">
        <v>1013</v>
      </c>
      <c r="D121" s="5" t="s">
        <v>1014</v>
      </c>
      <c r="E121" s="5" t="s">
        <v>1015</v>
      </c>
      <c r="F121" s="5" t="s">
        <v>1016</v>
      </c>
      <c r="G121" t="str">
        <f t="shared" si="3"/>
        <v>THE-MAGIC04</v>
      </c>
      <c r="H121" s="5" t="s">
        <v>66</v>
      </c>
      <c r="I121" s="5" t="s">
        <v>67</v>
      </c>
      <c r="J121" s="5" t="s">
        <v>67</v>
      </c>
      <c r="K121" s="5" t="s">
        <v>140</v>
      </c>
      <c r="L121" s="5" t="s">
        <v>69</v>
      </c>
      <c r="M121" s="5" t="s">
        <v>1017</v>
      </c>
      <c r="N121" t="str">
        <f t="shared" si="4"/>
        <v>October</v>
      </c>
      <c r="O121" s="5" t="s">
        <v>1017</v>
      </c>
      <c r="P121" s="5" t="s">
        <v>71</v>
      </c>
      <c r="Q121" s="5" t="s">
        <v>72</v>
      </c>
      <c r="R121" s="5" t="s">
        <v>73</v>
      </c>
      <c r="S121" s="5" t="s">
        <v>881</v>
      </c>
      <c r="T121" s="5" t="s">
        <v>75</v>
      </c>
      <c r="U121" s="5" t="s">
        <v>75</v>
      </c>
      <c r="V121" s="5" t="s">
        <v>75</v>
      </c>
      <c r="W121" s="5" t="s">
        <v>881</v>
      </c>
      <c r="X121" s="5" t="s">
        <v>75</v>
      </c>
      <c r="Y121" s="5" t="s">
        <v>881</v>
      </c>
      <c r="Z121" s="5" t="s">
        <v>76</v>
      </c>
      <c r="AA121" s="5" t="s">
        <v>881</v>
      </c>
      <c r="AB121" s="5" t="s">
        <v>75</v>
      </c>
      <c r="AC121" s="5" t="s">
        <v>75</v>
      </c>
      <c r="AD121" s="5" t="s">
        <v>75</v>
      </c>
      <c r="AE121" s="5" t="s">
        <v>75</v>
      </c>
      <c r="AF121" s="5" t="s">
        <v>75</v>
      </c>
      <c r="AG121" s="5" t="s">
        <v>75</v>
      </c>
      <c r="AH121" s="5" t="s">
        <v>75</v>
      </c>
      <c r="AI121" s="5" t="s">
        <v>75</v>
      </c>
      <c r="AJ121" s="5" t="s">
        <v>75</v>
      </c>
      <c r="AK121" s="5" t="s">
        <v>75</v>
      </c>
      <c r="AL121" s="5" t="s">
        <v>75</v>
      </c>
      <c r="AM121" s="5" t="s">
        <v>75</v>
      </c>
      <c r="AN121" s="5" t="s">
        <v>75</v>
      </c>
      <c r="AO121" s="5" t="s">
        <v>75</v>
      </c>
      <c r="AP121" s="5" t="s">
        <v>75</v>
      </c>
      <c r="AQ121" s="5" t="s">
        <v>75</v>
      </c>
      <c r="AR121" s="5" t="s">
        <v>75</v>
      </c>
      <c r="AS121" s="5" t="s">
        <v>75</v>
      </c>
      <c r="AT121" s="5" t="s">
        <v>75</v>
      </c>
      <c r="AU121" s="5" t="s">
        <v>1018</v>
      </c>
      <c r="AV121" s="5" t="s">
        <v>970</v>
      </c>
      <c r="AW121" s="5" t="s">
        <v>881</v>
      </c>
      <c r="AX121" s="5" t="s">
        <v>1019</v>
      </c>
      <c r="AY121" s="5" t="s">
        <v>126</v>
      </c>
      <c r="AZ121" s="5" t="s">
        <v>1019</v>
      </c>
      <c r="BA121" s="7" t="s">
        <v>1384</v>
      </c>
      <c r="BB121" s="13" t="str">
        <f t="shared" si="5"/>
        <v xml:space="preserve"> Puducherry</v>
      </c>
      <c r="BC121" s="5" t="s">
        <v>126</v>
      </c>
      <c r="BD121" s="5" t="s">
        <v>73</v>
      </c>
      <c r="BE121" s="5" t="s">
        <v>81</v>
      </c>
      <c r="BF121" s="5" t="s">
        <v>82</v>
      </c>
      <c r="BG121" s="5" t="s">
        <v>964</v>
      </c>
      <c r="BH121" s="5" t="s">
        <v>73</v>
      </c>
      <c r="BI121" s="5" t="s">
        <v>73</v>
      </c>
      <c r="BJ121" s="5" t="s">
        <v>73</v>
      </c>
      <c r="BK121" s="5" t="s">
        <v>1020</v>
      </c>
      <c r="BL121" s="5" t="s">
        <v>73</v>
      </c>
      <c r="BM121" s="12">
        <v>80</v>
      </c>
    </row>
    <row r="122" spans="1:65">
      <c r="A122" s="5" t="s">
        <v>60</v>
      </c>
      <c r="B122" s="5" t="s">
        <v>955</v>
      </c>
      <c r="C122" s="5" t="s">
        <v>956</v>
      </c>
      <c r="D122" s="5" t="s">
        <v>877</v>
      </c>
      <c r="E122" s="5" t="s">
        <v>878</v>
      </c>
      <c r="F122" s="5" t="s">
        <v>879</v>
      </c>
      <c r="G122" t="str">
        <f t="shared" si="3"/>
        <v>THE-COURAGE01</v>
      </c>
      <c r="H122" s="5" t="s">
        <v>66</v>
      </c>
      <c r="I122" s="5" t="s">
        <v>138</v>
      </c>
      <c r="J122" s="5" t="s">
        <v>138</v>
      </c>
      <c r="K122" s="5" t="s">
        <v>140</v>
      </c>
      <c r="L122" s="5" t="s">
        <v>69</v>
      </c>
      <c r="M122" s="5" t="s">
        <v>950</v>
      </c>
      <c r="N122" t="str">
        <f t="shared" si="4"/>
        <v>October</v>
      </c>
      <c r="O122" s="5" t="s">
        <v>950</v>
      </c>
      <c r="P122" s="5" t="s">
        <v>71</v>
      </c>
      <c r="Q122" s="5" t="s">
        <v>72</v>
      </c>
      <c r="R122" s="5" t="s">
        <v>73</v>
      </c>
      <c r="S122" s="5" t="s">
        <v>881</v>
      </c>
      <c r="T122" s="5" t="s">
        <v>231</v>
      </c>
      <c r="U122" s="5" t="s">
        <v>75</v>
      </c>
      <c r="V122" s="5" t="s">
        <v>231</v>
      </c>
      <c r="W122" s="5" t="s">
        <v>882</v>
      </c>
      <c r="X122" s="5" t="s">
        <v>75</v>
      </c>
      <c r="Y122" s="5" t="s">
        <v>882</v>
      </c>
      <c r="Z122" s="5" t="s">
        <v>76</v>
      </c>
      <c r="AA122" s="5" t="s">
        <v>882</v>
      </c>
      <c r="AB122" s="5" t="s">
        <v>75</v>
      </c>
      <c r="AC122" s="5" t="s">
        <v>75</v>
      </c>
      <c r="AD122" s="5" t="s">
        <v>75</v>
      </c>
      <c r="AE122" s="5" t="s">
        <v>75</v>
      </c>
      <c r="AF122" s="5" t="s">
        <v>75</v>
      </c>
      <c r="AG122" s="5" t="s">
        <v>75</v>
      </c>
      <c r="AH122" s="5" t="s">
        <v>75</v>
      </c>
      <c r="AI122" s="5" t="s">
        <v>75</v>
      </c>
      <c r="AJ122" s="5" t="s">
        <v>75</v>
      </c>
      <c r="AK122" s="5" t="s">
        <v>75</v>
      </c>
      <c r="AL122" s="5" t="s">
        <v>75</v>
      </c>
      <c r="AM122" s="5" t="s">
        <v>75</v>
      </c>
      <c r="AN122" s="5" t="s">
        <v>75</v>
      </c>
      <c r="AO122" s="5" t="s">
        <v>75</v>
      </c>
      <c r="AP122" s="5" t="s">
        <v>75</v>
      </c>
      <c r="AQ122" s="5" t="s">
        <v>75</v>
      </c>
      <c r="AR122" s="5" t="s">
        <v>75</v>
      </c>
      <c r="AS122" s="5" t="s">
        <v>75</v>
      </c>
      <c r="AT122" s="5" t="s">
        <v>75</v>
      </c>
      <c r="AU122" s="5" t="s">
        <v>1021</v>
      </c>
      <c r="AV122" s="5" t="s">
        <v>1022</v>
      </c>
      <c r="AW122" s="5" t="s">
        <v>882</v>
      </c>
      <c r="AX122" s="5" t="s">
        <v>958</v>
      </c>
      <c r="AY122" s="5" t="s">
        <v>80</v>
      </c>
      <c r="AZ122" s="5" t="s">
        <v>958</v>
      </c>
      <c r="BA122" t="s">
        <v>1422</v>
      </c>
      <c r="BB122" s="13" t="str">
        <f t="shared" si="5"/>
        <v xml:space="preserve"> Bengaluru</v>
      </c>
      <c r="BC122" s="5" t="s">
        <v>80</v>
      </c>
      <c r="BD122" s="5" t="s">
        <v>73</v>
      </c>
      <c r="BE122" s="5" t="s">
        <v>81</v>
      </c>
      <c r="BF122" s="5" t="s">
        <v>82</v>
      </c>
      <c r="BG122" s="5" t="s">
        <v>886</v>
      </c>
      <c r="BH122" s="5" t="s">
        <v>73</v>
      </c>
      <c r="BI122" s="5" t="s">
        <v>73</v>
      </c>
      <c r="BJ122" s="5" t="s">
        <v>73</v>
      </c>
      <c r="BK122" s="5" t="s">
        <v>959</v>
      </c>
      <c r="BL122" s="5" t="s">
        <v>73</v>
      </c>
      <c r="BM122" s="12">
        <v>77</v>
      </c>
    </row>
    <row r="123" spans="1:65">
      <c r="A123" s="5" t="s">
        <v>60</v>
      </c>
      <c r="B123" s="5" t="s">
        <v>955</v>
      </c>
      <c r="C123" s="5" t="s">
        <v>956</v>
      </c>
      <c r="D123" s="5" t="s">
        <v>877</v>
      </c>
      <c r="E123" s="5" t="s">
        <v>878</v>
      </c>
      <c r="F123" s="5" t="s">
        <v>879</v>
      </c>
      <c r="G123" t="str">
        <f t="shared" si="3"/>
        <v>THE-COURAGE01</v>
      </c>
      <c r="H123" s="5" t="s">
        <v>66</v>
      </c>
      <c r="I123" s="5" t="s">
        <v>138</v>
      </c>
      <c r="J123" s="5" t="s">
        <v>138</v>
      </c>
      <c r="K123" s="5" t="s">
        <v>140</v>
      </c>
      <c r="L123" s="5" t="s">
        <v>69</v>
      </c>
      <c r="M123" s="5" t="s">
        <v>950</v>
      </c>
      <c r="N123" t="str">
        <f t="shared" si="4"/>
        <v>October</v>
      </c>
      <c r="O123" s="5" t="s">
        <v>950</v>
      </c>
      <c r="P123" s="5" t="s">
        <v>71</v>
      </c>
      <c r="Q123" s="5" t="s">
        <v>72</v>
      </c>
      <c r="R123" s="5" t="s">
        <v>73</v>
      </c>
      <c r="S123" s="5" t="s">
        <v>881</v>
      </c>
      <c r="T123" s="5" t="s">
        <v>231</v>
      </c>
      <c r="U123" s="5" t="s">
        <v>75</v>
      </c>
      <c r="V123" s="5" t="s">
        <v>231</v>
      </c>
      <c r="W123" s="5" t="s">
        <v>882</v>
      </c>
      <c r="X123" s="5" t="s">
        <v>75</v>
      </c>
      <c r="Y123" s="5" t="s">
        <v>882</v>
      </c>
      <c r="Z123" s="5" t="s">
        <v>76</v>
      </c>
      <c r="AA123" s="5" t="s">
        <v>1023</v>
      </c>
      <c r="AB123" s="5" t="s">
        <v>75</v>
      </c>
      <c r="AC123" s="5" t="s">
        <v>75</v>
      </c>
      <c r="AD123" s="5" t="s">
        <v>75</v>
      </c>
      <c r="AE123" s="5" t="s">
        <v>75</v>
      </c>
      <c r="AF123" s="5" t="s">
        <v>75</v>
      </c>
      <c r="AG123" s="5" t="s">
        <v>75</v>
      </c>
      <c r="AH123" s="5" t="s">
        <v>75</v>
      </c>
      <c r="AI123" s="5" t="s">
        <v>75</v>
      </c>
      <c r="AJ123" s="5" t="s">
        <v>75</v>
      </c>
      <c r="AK123" s="5" t="s">
        <v>75</v>
      </c>
      <c r="AL123" s="5" t="s">
        <v>75</v>
      </c>
      <c r="AM123" s="5" t="s">
        <v>75</v>
      </c>
      <c r="AN123" s="5" t="s">
        <v>75</v>
      </c>
      <c r="AO123" s="5" t="s">
        <v>75</v>
      </c>
      <c r="AP123" s="5" t="s">
        <v>75</v>
      </c>
      <c r="AQ123" s="5" t="s">
        <v>75</v>
      </c>
      <c r="AR123" s="5" t="s">
        <v>75</v>
      </c>
      <c r="AS123" s="5" t="s">
        <v>75</v>
      </c>
      <c r="AT123" s="5" t="s">
        <v>75</v>
      </c>
      <c r="AU123" s="5" t="s">
        <v>1024</v>
      </c>
      <c r="AV123" s="5" t="s">
        <v>1022</v>
      </c>
      <c r="AW123" s="5" t="s">
        <v>1023</v>
      </c>
      <c r="AX123" s="5" t="s">
        <v>958</v>
      </c>
      <c r="AY123" s="5" t="s">
        <v>80</v>
      </c>
      <c r="AZ123" s="5" t="s">
        <v>958</v>
      </c>
      <c r="BA123" t="s">
        <v>1422</v>
      </c>
      <c r="BB123" s="13" t="str">
        <f t="shared" si="5"/>
        <v xml:space="preserve"> Bengaluru</v>
      </c>
      <c r="BC123" s="5" t="s">
        <v>80</v>
      </c>
      <c r="BD123" s="5" t="s">
        <v>73</v>
      </c>
      <c r="BE123" s="5" t="s">
        <v>81</v>
      </c>
      <c r="BF123" s="5" t="s">
        <v>82</v>
      </c>
      <c r="BG123" s="5" t="s">
        <v>886</v>
      </c>
      <c r="BH123" s="5" t="s">
        <v>73</v>
      </c>
      <c r="BI123" s="5" t="s">
        <v>73</v>
      </c>
      <c r="BJ123" s="5" t="s">
        <v>73</v>
      </c>
      <c r="BK123" s="5" t="s">
        <v>959</v>
      </c>
      <c r="BL123" s="5" t="s">
        <v>73</v>
      </c>
      <c r="BM123" s="12">
        <v>84</v>
      </c>
    </row>
    <row r="124" spans="1:65">
      <c r="A124" s="5" t="s">
        <v>60</v>
      </c>
      <c r="B124" s="5" t="s">
        <v>1025</v>
      </c>
      <c r="C124" s="5" t="s">
        <v>1026</v>
      </c>
      <c r="D124" s="5" t="s">
        <v>1027</v>
      </c>
      <c r="E124" s="5" t="s">
        <v>1028</v>
      </c>
      <c r="F124" s="5" t="s">
        <v>1029</v>
      </c>
      <c r="G124" t="str">
        <f t="shared" si="3"/>
        <v>PSYCH05</v>
      </c>
      <c r="H124" s="5" t="s">
        <v>66</v>
      </c>
      <c r="I124" s="5" t="s">
        <v>67</v>
      </c>
      <c r="J124" s="5" t="s">
        <v>67</v>
      </c>
      <c r="K124" s="5" t="s">
        <v>68</v>
      </c>
      <c r="L124" s="5" t="s">
        <v>69</v>
      </c>
      <c r="M124" s="5" t="s">
        <v>1030</v>
      </c>
      <c r="N124" t="str">
        <f t="shared" si="4"/>
        <v>October</v>
      </c>
      <c r="O124" s="5" t="s">
        <v>1030</v>
      </c>
      <c r="P124" s="5" t="s">
        <v>71</v>
      </c>
      <c r="Q124" s="5" t="s">
        <v>72</v>
      </c>
      <c r="R124" s="5" t="s">
        <v>73</v>
      </c>
      <c r="S124" s="5" t="s">
        <v>921</v>
      </c>
      <c r="T124" s="5" t="s">
        <v>1031</v>
      </c>
      <c r="U124" s="5" t="s">
        <v>1032</v>
      </c>
      <c r="V124" s="5" t="s">
        <v>1033</v>
      </c>
      <c r="W124" s="5" t="s">
        <v>441</v>
      </c>
      <c r="X124" s="5" t="s">
        <v>75</v>
      </c>
      <c r="Y124" s="5" t="s">
        <v>441</v>
      </c>
      <c r="Z124" s="5" t="s">
        <v>76</v>
      </c>
      <c r="AA124" s="5" t="s">
        <v>441</v>
      </c>
      <c r="AB124" s="5" t="s">
        <v>75</v>
      </c>
      <c r="AC124" s="5" t="s">
        <v>75</v>
      </c>
      <c r="AD124" s="5" t="s">
        <v>75</v>
      </c>
      <c r="AE124" s="5" t="s">
        <v>75</v>
      </c>
      <c r="AF124" s="5" t="s">
        <v>75</v>
      </c>
      <c r="AG124" s="5" t="s">
        <v>75</v>
      </c>
      <c r="AH124" s="5" t="s">
        <v>75</v>
      </c>
      <c r="AI124" s="5" t="s">
        <v>75</v>
      </c>
      <c r="AJ124" s="5" t="s">
        <v>75</v>
      </c>
      <c r="AK124" s="5" t="s">
        <v>75</v>
      </c>
      <c r="AL124" s="5" t="s">
        <v>75</v>
      </c>
      <c r="AM124" s="5" t="s">
        <v>75</v>
      </c>
      <c r="AN124" s="5" t="s">
        <v>75</v>
      </c>
      <c r="AO124" s="5" t="s">
        <v>75</v>
      </c>
      <c r="AP124" s="5" t="s">
        <v>75</v>
      </c>
      <c r="AQ124" s="5" t="s">
        <v>75</v>
      </c>
      <c r="AR124" s="5" t="s">
        <v>75</v>
      </c>
      <c r="AS124" s="5" t="s">
        <v>75</v>
      </c>
      <c r="AT124" s="5" t="s">
        <v>75</v>
      </c>
      <c r="AU124" s="5" t="s">
        <v>1034</v>
      </c>
      <c r="AV124" s="5" t="s">
        <v>1035</v>
      </c>
      <c r="AW124" s="5" t="s">
        <v>441</v>
      </c>
      <c r="AX124" s="5" t="s">
        <v>1036</v>
      </c>
      <c r="AY124" s="5" t="s">
        <v>592</v>
      </c>
      <c r="AZ124" s="5" t="s">
        <v>1036</v>
      </c>
      <c r="BA124" s="7" t="s">
        <v>1385</v>
      </c>
      <c r="BB124" s="13" t="str">
        <f t="shared" si="5"/>
        <v xml:space="preserve"> New Delhi</v>
      </c>
      <c r="BC124" s="5" t="s">
        <v>592</v>
      </c>
      <c r="BD124" s="5" t="s">
        <v>73</v>
      </c>
      <c r="BE124" s="5" t="s">
        <v>81</v>
      </c>
      <c r="BF124" s="5" t="s">
        <v>82</v>
      </c>
      <c r="BG124" s="5" t="s">
        <v>444</v>
      </c>
      <c r="BH124" s="5" t="s">
        <v>73</v>
      </c>
      <c r="BI124" s="5" t="s">
        <v>73</v>
      </c>
      <c r="BJ124" s="5" t="s">
        <v>73</v>
      </c>
      <c r="BK124" s="5" t="s">
        <v>1037</v>
      </c>
      <c r="BL124" s="5" t="s">
        <v>73</v>
      </c>
      <c r="BM124" s="12">
        <v>86</v>
      </c>
    </row>
    <row r="125" spans="1:65">
      <c r="A125" s="5" t="s">
        <v>60</v>
      </c>
      <c r="B125" s="5" t="s">
        <v>868</v>
      </c>
      <c r="C125" s="5" t="s">
        <v>869</v>
      </c>
      <c r="D125" s="5" t="s">
        <v>525</v>
      </c>
      <c r="E125" s="5" t="s">
        <v>526</v>
      </c>
      <c r="F125" s="5" t="s">
        <v>527</v>
      </c>
      <c r="G125" t="str">
        <f t="shared" si="3"/>
        <v>WHO-WILL-CRY01</v>
      </c>
      <c r="H125" s="5" t="s">
        <v>66</v>
      </c>
      <c r="I125" s="5" t="s">
        <v>138</v>
      </c>
      <c r="J125" s="5" t="s">
        <v>139</v>
      </c>
      <c r="K125" s="5" t="s">
        <v>140</v>
      </c>
      <c r="L125" s="5" t="s">
        <v>69</v>
      </c>
      <c r="M125" s="5" t="s">
        <v>870</v>
      </c>
      <c r="N125" t="str">
        <f t="shared" si="4"/>
        <v>September</v>
      </c>
      <c r="O125" s="5" t="s">
        <v>870</v>
      </c>
      <c r="P125" s="5" t="s">
        <v>71</v>
      </c>
      <c r="Q125" s="5" t="s">
        <v>72</v>
      </c>
      <c r="R125" s="5" t="s">
        <v>73</v>
      </c>
      <c r="S125" s="5" t="s">
        <v>367</v>
      </c>
      <c r="T125" s="5" t="s">
        <v>181</v>
      </c>
      <c r="U125" s="5" t="s">
        <v>862</v>
      </c>
      <c r="V125" s="5" t="s">
        <v>863</v>
      </c>
      <c r="W125" s="5" t="s">
        <v>454</v>
      </c>
      <c r="X125" s="5" t="s">
        <v>75</v>
      </c>
      <c r="Y125" s="5" t="s">
        <v>454</v>
      </c>
      <c r="Z125" s="5" t="s">
        <v>76</v>
      </c>
      <c r="AA125" s="5" t="s">
        <v>455</v>
      </c>
      <c r="AB125" s="5" t="s">
        <v>75</v>
      </c>
      <c r="AC125" s="5" t="s">
        <v>75</v>
      </c>
      <c r="AD125" s="5" t="s">
        <v>75</v>
      </c>
      <c r="AE125" s="5" t="s">
        <v>75</v>
      </c>
      <c r="AF125" s="5" t="s">
        <v>75</v>
      </c>
      <c r="AG125" s="5" t="s">
        <v>75</v>
      </c>
      <c r="AH125" s="5" t="s">
        <v>75</v>
      </c>
      <c r="AI125" s="5" t="s">
        <v>75</v>
      </c>
      <c r="AJ125" s="5" t="s">
        <v>75</v>
      </c>
      <c r="AK125" s="5" t="s">
        <v>75</v>
      </c>
      <c r="AL125" s="5" t="s">
        <v>75</v>
      </c>
      <c r="AM125" s="5" t="s">
        <v>75</v>
      </c>
      <c r="AN125" s="5" t="s">
        <v>75</v>
      </c>
      <c r="AO125" s="5" t="s">
        <v>75</v>
      </c>
      <c r="AP125" s="5" t="s">
        <v>75</v>
      </c>
      <c r="AQ125" s="5" t="s">
        <v>75</v>
      </c>
      <c r="AR125" s="5" t="s">
        <v>75</v>
      </c>
      <c r="AS125" s="5" t="s">
        <v>75</v>
      </c>
      <c r="AT125" s="5" t="s">
        <v>75</v>
      </c>
      <c r="AU125" s="5" t="s">
        <v>1038</v>
      </c>
      <c r="AV125" s="5" t="s">
        <v>1039</v>
      </c>
      <c r="AW125" s="5" t="s">
        <v>455</v>
      </c>
      <c r="AX125" s="5" t="s">
        <v>873</v>
      </c>
      <c r="AY125" s="5" t="s">
        <v>563</v>
      </c>
      <c r="AZ125" s="5" t="s">
        <v>873</v>
      </c>
      <c r="BA125" t="s">
        <v>1420</v>
      </c>
      <c r="BB125" s="13" t="str">
        <f t="shared" si="5"/>
        <v xml:space="preserve"> Patna</v>
      </c>
      <c r="BC125" s="5" t="s">
        <v>563</v>
      </c>
      <c r="BD125" s="5" t="s">
        <v>73</v>
      </c>
      <c r="BE125" s="5" t="s">
        <v>81</v>
      </c>
      <c r="BF125" s="5" t="s">
        <v>82</v>
      </c>
      <c r="BG125" s="5" t="s">
        <v>459</v>
      </c>
      <c r="BH125" s="5" t="s">
        <v>73</v>
      </c>
      <c r="BI125" s="5" t="s">
        <v>73</v>
      </c>
      <c r="BJ125" s="5" t="s">
        <v>73</v>
      </c>
      <c r="BK125" s="5" t="s">
        <v>874</v>
      </c>
      <c r="BL125" s="5" t="s">
        <v>73</v>
      </c>
      <c r="BM125" s="12">
        <v>74</v>
      </c>
    </row>
    <row r="126" spans="1:65">
      <c r="A126" s="5" t="s">
        <v>60</v>
      </c>
      <c r="B126" s="5" t="s">
        <v>868</v>
      </c>
      <c r="C126" s="5" t="s">
        <v>869</v>
      </c>
      <c r="D126" s="5" t="s">
        <v>525</v>
      </c>
      <c r="E126" s="5" t="s">
        <v>526</v>
      </c>
      <c r="F126" s="5" t="s">
        <v>527</v>
      </c>
      <c r="G126" t="str">
        <f t="shared" si="3"/>
        <v>WHO-WILL-CRY01</v>
      </c>
      <c r="H126" s="5" t="s">
        <v>66</v>
      </c>
      <c r="I126" s="5" t="s">
        <v>67</v>
      </c>
      <c r="J126" s="5" t="s">
        <v>67</v>
      </c>
      <c r="K126" s="5" t="s">
        <v>140</v>
      </c>
      <c r="L126" s="5" t="s">
        <v>69</v>
      </c>
      <c r="M126" s="5" t="s">
        <v>870</v>
      </c>
      <c r="N126" t="str">
        <f t="shared" si="4"/>
        <v>September</v>
      </c>
      <c r="O126" s="5" t="s">
        <v>870</v>
      </c>
      <c r="P126" s="5" t="s">
        <v>71</v>
      </c>
      <c r="Q126" s="5" t="s">
        <v>72</v>
      </c>
      <c r="R126" s="5" t="s">
        <v>73</v>
      </c>
      <c r="S126" s="5" t="s">
        <v>367</v>
      </c>
      <c r="T126" s="5" t="s">
        <v>181</v>
      </c>
      <c r="U126" s="5" t="s">
        <v>862</v>
      </c>
      <c r="V126" s="5" t="s">
        <v>863</v>
      </c>
      <c r="W126" s="5" t="s">
        <v>454</v>
      </c>
      <c r="X126" s="5" t="s">
        <v>75</v>
      </c>
      <c r="Y126" s="5" t="s">
        <v>454</v>
      </c>
      <c r="Z126" s="5" t="s">
        <v>76</v>
      </c>
      <c r="AA126" s="5" t="s">
        <v>454</v>
      </c>
      <c r="AB126" s="5" t="s">
        <v>75</v>
      </c>
      <c r="AC126" s="5" t="s">
        <v>75</v>
      </c>
      <c r="AD126" s="5" t="s">
        <v>75</v>
      </c>
      <c r="AE126" s="5" t="s">
        <v>75</v>
      </c>
      <c r="AF126" s="5" t="s">
        <v>75</v>
      </c>
      <c r="AG126" s="5" t="s">
        <v>75</v>
      </c>
      <c r="AH126" s="5" t="s">
        <v>75</v>
      </c>
      <c r="AI126" s="5" t="s">
        <v>75</v>
      </c>
      <c r="AJ126" s="5" t="s">
        <v>75</v>
      </c>
      <c r="AK126" s="5" t="s">
        <v>75</v>
      </c>
      <c r="AL126" s="5" t="s">
        <v>75</v>
      </c>
      <c r="AM126" s="5" t="s">
        <v>75</v>
      </c>
      <c r="AN126" s="5" t="s">
        <v>75</v>
      </c>
      <c r="AO126" s="5" t="s">
        <v>75</v>
      </c>
      <c r="AP126" s="5" t="s">
        <v>75</v>
      </c>
      <c r="AQ126" s="5" t="s">
        <v>75</v>
      </c>
      <c r="AR126" s="5" t="s">
        <v>75</v>
      </c>
      <c r="AS126" s="5" t="s">
        <v>75</v>
      </c>
      <c r="AT126" s="5" t="s">
        <v>75</v>
      </c>
      <c r="AU126" s="5" t="s">
        <v>1040</v>
      </c>
      <c r="AV126" s="5" t="s">
        <v>1039</v>
      </c>
      <c r="AW126" s="5" t="s">
        <v>454</v>
      </c>
      <c r="AX126" s="5" t="s">
        <v>873</v>
      </c>
      <c r="AY126" s="5" t="s">
        <v>563</v>
      </c>
      <c r="AZ126" s="5" t="s">
        <v>873</v>
      </c>
      <c r="BA126" t="s">
        <v>1420</v>
      </c>
      <c r="BB126" s="13" t="str">
        <f t="shared" si="5"/>
        <v xml:space="preserve"> Patna</v>
      </c>
      <c r="BC126" s="5" t="s">
        <v>563</v>
      </c>
      <c r="BD126" s="5" t="s">
        <v>73</v>
      </c>
      <c r="BE126" s="5" t="s">
        <v>81</v>
      </c>
      <c r="BF126" s="5" t="s">
        <v>82</v>
      </c>
      <c r="BG126" s="5" t="s">
        <v>459</v>
      </c>
      <c r="BH126" s="5" t="s">
        <v>73</v>
      </c>
      <c r="BI126" s="5" t="s">
        <v>73</v>
      </c>
      <c r="BJ126" s="5" t="s">
        <v>73</v>
      </c>
      <c r="BK126" s="5" t="s">
        <v>1041</v>
      </c>
      <c r="BL126" s="5" t="s">
        <v>73</v>
      </c>
      <c r="BM126" s="12">
        <v>78</v>
      </c>
    </row>
    <row r="127" spans="1:65">
      <c r="A127" s="5" t="s">
        <v>60</v>
      </c>
      <c r="B127" s="5" t="s">
        <v>966</v>
      </c>
      <c r="C127" s="5" t="s">
        <v>967</v>
      </c>
      <c r="D127" s="5" t="s">
        <v>305</v>
      </c>
      <c r="E127" s="5" t="s">
        <v>306</v>
      </c>
      <c r="F127" s="5" t="s">
        <v>307</v>
      </c>
      <c r="G127" t="str">
        <f t="shared" si="3"/>
        <v>THANGRORICH</v>
      </c>
      <c r="H127" s="5" t="s">
        <v>66</v>
      </c>
      <c r="I127" s="5" t="s">
        <v>67</v>
      </c>
      <c r="J127" s="5" t="s">
        <v>67</v>
      </c>
      <c r="K127" s="5" t="s">
        <v>140</v>
      </c>
      <c r="L127" s="5" t="s">
        <v>69</v>
      </c>
      <c r="M127" s="5" t="s">
        <v>968</v>
      </c>
      <c r="N127" t="str">
        <f t="shared" si="4"/>
        <v>October</v>
      </c>
      <c r="O127" s="5" t="s">
        <v>968</v>
      </c>
      <c r="P127" s="5" t="s">
        <v>71</v>
      </c>
      <c r="Q127" s="5" t="s">
        <v>72</v>
      </c>
      <c r="R127" s="5" t="s">
        <v>73</v>
      </c>
      <c r="S127" s="5" t="s">
        <v>783</v>
      </c>
      <c r="T127" s="5" t="s">
        <v>674</v>
      </c>
      <c r="U127" s="5" t="s">
        <v>899</v>
      </c>
      <c r="V127" s="5" t="s">
        <v>900</v>
      </c>
      <c r="W127" s="5" t="s">
        <v>901</v>
      </c>
      <c r="X127" s="5" t="s">
        <v>75</v>
      </c>
      <c r="Y127" s="5" t="s">
        <v>901</v>
      </c>
      <c r="Z127" s="5" t="s">
        <v>76</v>
      </c>
      <c r="AA127" s="5" t="s">
        <v>901</v>
      </c>
      <c r="AB127" s="5" t="s">
        <v>75</v>
      </c>
      <c r="AC127" s="5" t="s">
        <v>75</v>
      </c>
      <c r="AD127" s="5" t="s">
        <v>75</v>
      </c>
      <c r="AE127" s="5" t="s">
        <v>75</v>
      </c>
      <c r="AF127" s="5" t="s">
        <v>75</v>
      </c>
      <c r="AG127" s="5" t="s">
        <v>75</v>
      </c>
      <c r="AH127" s="5" t="s">
        <v>75</v>
      </c>
      <c r="AI127" s="5" t="s">
        <v>75</v>
      </c>
      <c r="AJ127" s="5" t="s">
        <v>75</v>
      </c>
      <c r="AK127" s="5" t="s">
        <v>75</v>
      </c>
      <c r="AL127" s="5" t="s">
        <v>75</v>
      </c>
      <c r="AM127" s="5" t="s">
        <v>75</v>
      </c>
      <c r="AN127" s="5" t="s">
        <v>75</v>
      </c>
      <c r="AO127" s="5" t="s">
        <v>75</v>
      </c>
      <c r="AP127" s="5" t="s">
        <v>75</v>
      </c>
      <c r="AQ127" s="5" t="s">
        <v>75</v>
      </c>
      <c r="AR127" s="5" t="s">
        <v>75</v>
      </c>
      <c r="AS127" s="5" t="s">
        <v>75</v>
      </c>
      <c r="AT127" s="5" t="s">
        <v>75</v>
      </c>
      <c r="AU127" s="5" t="s">
        <v>1042</v>
      </c>
      <c r="AV127" s="5" t="s">
        <v>976</v>
      </c>
      <c r="AW127" s="5" t="s">
        <v>901</v>
      </c>
      <c r="AX127" s="5" t="s">
        <v>971</v>
      </c>
      <c r="AY127" s="5" t="s">
        <v>224</v>
      </c>
      <c r="AZ127" s="5" t="s">
        <v>971</v>
      </c>
      <c r="BA127" t="s">
        <v>1421</v>
      </c>
      <c r="BB127" s="13" t="str">
        <f t="shared" si="5"/>
        <v xml:space="preserve"> Howrah</v>
      </c>
      <c r="BC127" s="5" t="s">
        <v>224</v>
      </c>
      <c r="BD127" s="5" t="s">
        <v>73</v>
      </c>
      <c r="BE127" s="5" t="s">
        <v>81</v>
      </c>
      <c r="BF127" s="5" t="s">
        <v>82</v>
      </c>
      <c r="BG127" s="5" t="s">
        <v>906</v>
      </c>
      <c r="BH127" s="5" t="s">
        <v>73</v>
      </c>
      <c r="BI127" s="5" t="s">
        <v>73</v>
      </c>
      <c r="BJ127" s="5" t="s">
        <v>73</v>
      </c>
      <c r="BK127" s="5" t="s">
        <v>972</v>
      </c>
      <c r="BL127" s="5" t="s">
        <v>73</v>
      </c>
      <c r="BM127" s="12">
        <v>85</v>
      </c>
    </row>
    <row r="128" spans="1:65">
      <c r="A128" s="5" t="s">
        <v>60</v>
      </c>
      <c r="B128" s="5" t="s">
        <v>955</v>
      </c>
      <c r="C128" s="5" t="s">
        <v>956</v>
      </c>
      <c r="D128" s="5" t="s">
        <v>877</v>
      </c>
      <c r="E128" s="5" t="s">
        <v>878</v>
      </c>
      <c r="F128" s="5" t="s">
        <v>879</v>
      </c>
      <c r="G128" t="str">
        <f t="shared" si="3"/>
        <v>THE-COURAGE01</v>
      </c>
      <c r="H128" s="5" t="s">
        <v>66</v>
      </c>
      <c r="I128" s="5" t="s">
        <v>138</v>
      </c>
      <c r="J128" s="5" t="s">
        <v>138</v>
      </c>
      <c r="K128" s="5" t="s">
        <v>140</v>
      </c>
      <c r="L128" s="5" t="s">
        <v>69</v>
      </c>
      <c r="M128" s="5" t="s">
        <v>950</v>
      </c>
      <c r="N128" t="str">
        <f t="shared" si="4"/>
        <v>October</v>
      </c>
      <c r="O128" s="5" t="s">
        <v>950</v>
      </c>
      <c r="P128" s="5" t="s">
        <v>71</v>
      </c>
      <c r="Q128" s="5" t="s">
        <v>72</v>
      </c>
      <c r="R128" s="5" t="s">
        <v>73</v>
      </c>
      <c r="S128" s="5" t="s">
        <v>881</v>
      </c>
      <c r="T128" s="5" t="s">
        <v>231</v>
      </c>
      <c r="U128" s="5" t="s">
        <v>75</v>
      </c>
      <c r="V128" s="5" t="s">
        <v>231</v>
      </c>
      <c r="W128" s="5" t="s">
        <v>882</v>
      </c>
      <c r="X128" s="5" t="s">
        <v>75</v>
      </c>
      <c r="Y128" s="5" t="s">
        <v>882</v>
      </c>
      <c r="Z128" s="5" t="s">
        <v>76</v>
      </c>
      <c r="AA128" s="5" t="s">
        <v>1023</v>
      </c>
      <c r="AB128" s="5" t="s">
        <v>75</v>
      </c>
      <c r="AC128" s="5" t="s">
        <v>75</v>
      </c>
      <c r="AD128" s="5" t="s">
        <v>75</v>
      </c>
      <c r="AE128" s="5" t="s">
        <v>75</v>
      </c>
      <c r="AF128" s="5" t="s">
        <v>75</v>
      </c>
      <c r="AG128" s="5" t="s">
        <v>75</v>
      </c>
      <c r="AH128" s="5" t="s">
        <v>75</v>
      </c>
      <c r="AI128" s="5" t="s">
        <v>75</v>
      </c>
      <c r="AJ128" s="5" t="s">
        <v>75</v>
      </c>
      <c r="AK128" s="5" t="s">
        <v>75</v>
      </c>
      <c r="AL128" s="5" t="s">
        <v>75</v>
      </c>
      <c r="AM128" s="5" t="s">
        <v>75</v>
      </c>
      <c r="AN128" s="5" t="s">
        <v>75</v>
      </c>
      <c r="AO128" s="5" t="s">
        <v>75</v>
      </c>
      <c r="AP128" s="5" t="s">
        <v>75</v>
      </c>
      <c r="AQ128" s="5" t="s">
        <v>75</v>
      </c>
      <c r="AR128" s="5" t="s">
        <v>75</v>
      </c>
      <c r="AS128" s="5" t="s">
        <v>75</v>
      </c>
      <c r="AT128" s="5" t="s">
        <v>75</v>
      </c>
      <c r="AU128" s="5" t="s">
        <v>1043</v>
      </c>
      <c r="AV128" s="5" t="s">
        <v>1044</v>
      </c>
      <c r="AW128" s="5" t="s">
        <v>1023</v>
      </c>
      <c r="AX128" s="5" t="s">
        <v>958</v>
      </c>
      <c r="AY128" s="5" t="s">
        <v>80</v>
      </c>
      <c r="AZ128" s="5" t="s">
        <v>958</v>
      </c>
      <c r="BA128" t="s">
        <v>1422</v>
      </c>
      <c r="BB128" s="13" t="str">
        <f t="shared" si="5"/>
        <v xml:space="preserve"> Bengaluru</v>
      </c>
      <c r="BC128" s="5" t="s">
        <v>80</v>
      </c>
      <c r="BD128" s="5" t="s">
        <v>73</v>
      </c>
      <c r="BE128" s="5" t="s">
        <v>81</v>
      </c>
      <c r="BF128" s="5" t="s">
        <v>82</v>
      </c>
      <c r="BG128" s="5" t="s">
        <v>886</v>
      </c>
      <c r="BH128" s="5" t="s">
        <v>73</v>
      </c>
      <c r="BI128" s="5" t="s">
        <v>73</v>
      </c>
      <c r="BJ128" s="5" t="s">
        <v>73</v>
      </c>
      <c r="BK128" s="5" t="s">
        <v>959</v>
      </c>
      <c r="BL128" s="5" t="s">
        <v>73</v>
      </c>
      <c r="BM128" s="12">
        <v>72</v>
      </c>
    </row>
    <row r="129" spans="1:65">
      <c r="A129" s="5" t="s">
        <v>60</v>
      </c>
      <c r="B129" s="5" t="s">
        <v>1045</v>
      </c>
      <c r="C129" s="5" t="s">
        <v>1046</v>
      </c>
      <c r="D129" s="5" t="s">
        <v>793</v>
      </c>
      <c r="E129" s="5" t="s">
        <v>794</v>
      </c>
      <c r="F129" s="5" t="s">
        <v>795</v>
      </c>
      <c r="G129" t="str">
        <f t="shared" si="3"/>
        <v>THE-MAGIC-IKIGAI</v>
      </c>
      <c r="H129" s="5" t="s">
        <v>66</v>
      </c>
      <c r="I129" s="5" t="s">
        <v>67</v>
      </c>
      <c r="J129" s="5" t="s">
        <v>67</v>
      </c>
      <c r="K129" s="5" t="s">
        <v>68</v>
      </c>
      <c r="L129" s="5" t="s">
        <v>69</v>
      </c>
      <c r="M129" s="5" t="s">
        <v>1047</v>
      </c>
      <c r="N129" t="str">
        <f t="shared" si="4"/>
        <v>October</v>
      </c>
      <c r="O129" s="5" t="s">
        <v>1047</v>
      </c>
      <c r="P129" s="5" t="s">
        <v>71</v>
      </c>
      <c r="Q129" s="5" t="s">
        <v>72</v>
      </c>
      <c r="R129" s="5" t="s">
        <v>73</v>
      </c>
      <c r="S129" s="5" t="s">
        <v>1048</v>
      </c>
      <c r="T129" s="5" t="s">
        <v>1049</v>
      </c>
      <c r="U129" s="5" t="s">
        <v>1050</v>
      </c>
      <c r="V129" s="5" t="s">
        <v>1051</v>
      </c>
      <c r="W129" s="5" t="s">
        <v>1052</v>
      </c>
      <c r="X129" s="5" t="s">
        <v>75</v>
      </c>
      <c r="Y129" s="5" t="s">
        <v>1052</v>
      </c>
      <c r="Z129" s="5" t="s">
        <v>76</v>
      </c>
      <c r="AA129" s="5" t="s">
        <v>1052</v>
      </c>
      <c r="AB129" s="5" t="s">
        <v>75</v>
      </c>
      <c r="AC129" s="5" t="s">
        <v>75</v>
      </c>
      <c r="AD129" s="5" t="s">
        <v>75</v>
      </c>
      <c r="AE129" s="5" t="s">
        <v>75</v>
      </c>
      <c r="AF129" s="5" t="s">
        <v>75</v>
      </c>
      <c r="AG129" s="5" t="s">
        <v>75</v>
      </c>
      <c r="AH129" s="5" t="s">
        <v>75</v>
      </c>
      <c r="AI129" s="5" t="s">
        <v>75</v>
      </c>
      <c r="AJ129" s="5" t="s">
        <v>75</v>
      </c>
      <c r="AK129" s="5" t="s">
        <v>75</v>
      </c>
      <c r="AL129" s="5" t="s">
        <v>75</v>
      </c>
      <c r="AM129" s="5" t="s">
        <v>75</v>
      </c>
      <c r="AN129" s="5" t="s">
        <v>75</v>
      </c>
      <c r="AO129" s="5" t="s">
        <v>75</v>
      </c>
      <c r="AP129" s="5" t="s">
        <v>75</v>
      </c>
      <c r="AQ129" s="5" t="s">
        <v>75</v>
      </c>
      <c r="AR129" s="5" t="s">
        <v>75</v>
      </c>
      <c r="AS129" s="5" t="s">
        <v>75</v>
      </c>
      <c r="AT129" s="5" t="s">
        <v>75</v>
      </c>
      <c r="AU129" s="5" t="s">
        <v>1053</v>
      </c>
      <c r="AV129" s="5" t="s">
        <v>1054</v>
      </c>
      <c r="AW129" s="5" t="s">
        <v>1052</v>
      </c>
      <c r="AX129" s="5" t="s">
        <v>1055</v>
      </c>
      <c r="AY129" s="5" t="s">
        <v>126</v>
      </c>
      <c r="AZ129" s="5" t="s">
        <v>1055</v>
      </c>
      <c r="BA129" s="7" t="s">
        <v>1386</v>
      </c>
      <c r="BB129" s="13" t="str">
        <f t="shared" si="5"/>
        <v xml:space="preserve"> Chennai</v>
      </c>
      <c r="BC129" s="5" t="s">
        <v>126</v>
      </c>
      <c r="BD129" s="5" t="s">
        <v>73</v>
      </c>
      <c r="BE129" s="5" t="s">
        <v>81</v>
      </c>
      <c r="BF129" s="5" t="s">
        <v>82</v>
      </c>
      <c r="BG129" s="5" t="s">
        <v>1056</v>
      </c>
      <c r="BH129" s="5" t="s">
        <v>73</v>
      </c>
      <c r="BI129" s="5" t="s">
        <v>73</v>
      </c>
      <c r="BJ129" s="5" t="s">
        <v>73</v>
      </c>
      <c r="BK129" s="5" t="s">
        <v>1057</v>
      </c>
      <c r="BL129" s="5" t="s">
        <v>73</v>
      </c>
      <c r="BM129" s="12">
        <v>90</v>
      </c>
    </row>
    <row r="130" spans="1:65">
      <c r="A130" s="5" t="s">
        <v>60</v>
      </c>
      <c r="B130" s="5" t="s">
        <v>1058</v>
      </c>
      <c r="C130" s="5" t="s">
        <v>1059</v>
      </c>
      <c r="D130" s="5" t="s">
        <v>1060</v>
      </c>
      <c r="E130" s="5" t="s">
        <v>1061</v>
      </c>
      <c r="F130" s="5" t="s">
        <v>1062</v>
      </c>
      <c r="G130" t="str">
        <f t="shared" si="3"/>
        <v>PSYCH02</v>
      </c>
      <c r="H130" s="5" t="s">
        <v>66</v>
      </c>
      <c r="I130" s="5" t="s">
        <v>67</v>
      </c>
      <c r="J130" s="5" t="s">
        <v>67</v>
      </c>
      <c r="K130" s="5" t="s">
        <v>140</v>
      </c>
      <c r="L130" s="5" t="s">
        <v>69</v>
      </c>
      <c r="M130" s="5" t="s">
        <v>1063</v>
      </c>
      <c r="N130" t="str">
        <f t="shared" si="4"/>
        <v>October</v>
      </c>
      <c r="O130" s="5" t="s">
        <v>1063</v>
      </c>
      <c r="P130" s="5" t="s">
        <v>71</v>
      </c>
      <c r="Q130" s="5" t="s">
        <v>72</v>
      </c>
      <c r="R130" s="5" t="s">
        <v>73</v>
      </c>
      <c r="S130" s="5" t="s">
        <v>1064</v>
      </c>
      <c r="T130" s="5" t="s">
        <v>1065</v>
      </c>
      <c r="U130" s="5" t="s">
        <v>1065</v>
      </c>
      <c r="V130" s="5" t="s">
        <v>75</v>
      </c>
      <c r="W130" s="5" t="s">
        <v>1066</v>
      </c>
      <c r="X130" s="5" t="s">
        <v>75</v>
      </c>
      <c r="Y130" s="5" t="s">
        <v>1066</v>
      </c>
      <c r="Z130" s="5" t="s">
        <v>76</v>
      </c>
      <c r="AA130" s="5" t="s">
        <v>1066</v>
      </c>
      <c r="AB130" s="5" t="s">
        <v>75</v>
      </c>
      <c r="AC130" s="5" t="s">
        <v>75</v>
      </c>
      <c r="AD130" s="5" t="s">
        <v>75</v>
      </c>
      <c r="AE130" s="5" t="s">
        <v>75</v>
      </c>
      <c r="AF130" s="5" t="s">
        <v>75</v>
      </c>
      <c r="AG130" s="5" t="s">
        <v>75</v>
      </c>
      <c r="AH130" s="5" t="s">
        <v>75</v>
      </c>
      <c r="AI130" s="5" t="s">
        <v>75</v>
      </c>
      <c r="AJ130" s="5" t="s">
        <v>75</v>
      </c>
      <c r="AK130" s="5" t="s">
        <v>75</v>
      </c>
      <c r="AL130" s="5" t="s">
        <v>75</v>
      </c>
      <c r="AM130" s="5" t="s">
        <v>75</v>
      </c>
      <c r="AN130" s="5" t="s">
        <v>75</v>
      </c>
      <c r="AO130" s="5" t="s">
        <v>75</v>
      </c>
      <c r="AP130" s="5" t="s">
        <v>75</v>
      </c>
      <c r="AQ130" s="5" t="s">
        <v>75</v>
      </c>
      <c r="AR130" s="5" t="s">
        <v>75</v>
      </c>
      <c r="AS130" s="5" t="s">
        <v>75</v>
      </c>
      <c r="AT130" s="5" t="s">
        <v>75</v>
      </c>
      <c r="AU130" s="5" t="s">
        <v>1067</v>
      </c>
      <c r="AV130" s="5" t="s">
        <v>1068</v>
      </c>
      <c r="AW130" s="5" t="s">
        <v>1066</v>
      </c>
      <c r="AX130" s="5" t="s">
        <v>1069</v>
      </c>
      <c r="AY130" s="5" t="s">
        <v>80</v>
      </c>
      <c r="AZ130" s="5" t="s">
        <v>1069</v>
      </c>
      <c r="BA130" s="7" t="s">
        <v>1387</v>
      </c>
      <c r="BB130" s="13" t="str">
        <f t="shared" si="5"/>
        <v xml:space="preserve"> Mangaluru</v>
      </c>
      <c r="BC130" s="5" t="s">
        <v>80</v>
      </c>
      <c r="BD130" s="5" t="s">
        <v>73</v>
      </c>
      <c r="BE130" s="5" t="s">
        <v>81</v>
      </c>
      <c r="BF130" s="5" t="s">
        <v>82</v>
      </c>
      <c r="BG130" s="5" t="s">
        <v>1070</v>
      </c>
      <c r="BH130" s="5" t="s">
        <v>73</v>
      </c>
      <c r="BI130" s="5" t="s">
        <v>73</v>
      </c>
      <c r="BJ130" s="5" t="s">
        <v>73</v>
      </c>
      <c r="BK130" s="5" t="s">
        <v>1071</v>
      </c>
      <c r="BL130" s="5" t="s">
        <v>73</v>
      </c>
      <c r="BM130" s="12">
        <v>76</v>
      </c>
    </row>
    <row r="131" spans="1:65">
      <c r="A131" s="5" t="s">
        <v>60</v>
      </c>
      <c r="B131" s="5" t="s">
        <v>1072</v>
      </c>
      <c r="C131" s="5" t="s">
        <v>1073</v>
      </c>
      <c r="D131" s="5" t="s">
        <v>1074</v>
      </c>
      <c r="E131" s="5" t="s">
        <v>1075</v>
      </c>
      <c r="F131" s="5" t="s">
        <v>1076</v>
      </c>
      <c r="G131" t="str">
        <f t="shared" ref="G131:G161" si="6">MID(F131,8,LEN(F131)-10)</f>
        <v>WHO-WILL-CRY</v>
      </c>
      <c r="H131" s="5" t="s">
        <v>66</v>
      </c>
      <c r="I131" s="5" t="s">
        <v>67</v>
      </c>
      <c r="J131" s="5" t="s">
        <v>67</v>
      </c>
      <c r="K131" s="5" t="s">
        <v>68</v>
      </c>
      <c r="L131" s="5" t="s">
        <v>69</v>
      </c>
      <c r="M131" s="5" t="s">
        <v>1077</v>
      </c>
      <c r="N131" t="str">
        <f t="shared" ref="N131:N161" si="7">TEXT(M131,"mmmm")</f>
        <v>October</v>
      </c>
      <c r="O131" s="5" t="s">
        <v>1077</v>
      </c>
      <c r="P131" s="5" t="s">
        <v>71</v>
      </c>
      <c r="Q131" s="5" t="s">
        <v>72</v>
      </c>
      <c r="R131" s="5" t="s">
        <v>73</v>
      </c>
      <c r="S131" s="5" t="s">
        <v>207</v>
      </c>
      <c r="T131" s="5" t="s">
        <v>1065</v>
      </c>
      <c r="U131" s="5" t="s">
        <v>1065</v>
      </c>
      <c r="V131" s="5" t="s">
        <v>75</v>
      </c>
      <c r="W131" s="5" t="s">
        <v>1064</v>
      </c>
      <c r="X131" s="5" t="s">
        <v>75</v>
      </c>
      <c r="Y131" s="5" t="s">
        <v>1064</v>
      </c>
      <c r="Z131" s="5" t="s">
        <v>76</v>
      </c>
      <c r="AA131" s="5" t="s">
        <v>1064</v>
      </c>
      <c r="AB131" s="5" t="s">
        <v>75</v>
      </c>
      <c r="AC131" s="5" t="s">
        <v>75</v>
      </c>
      <c r="AD131" s="5" t="s">
        <v>75</v>
      </c>
      <c r="AE131" s="5" t="s">
        <v>75</v>
      </c>
      <c r="AF131" s="5" t="s">
        <v>75</v>
      </c>
      <c r="AG131" s="5" t="s">
        <v>75</v>
      </c>
      <c r="AH131" s="5" t="s">
        <v>75</v>
      </c>
      <c r="AI131" s="5" t="s">
        <v>75</v>
      </c>
      <c r="AJ131" s="5" t="s">
        <v>75</v>
      </c>
      <c r="AK131" s="5" t="s">
        <v>75</v>
      </c>
      <c r="AL131" s="5" t="s">
        <v>75</v>
      </c>
      <c r="AM131" s="5" t="s">
        <v>75</v>
      </c>
      <c r="AN131" s="5" t="s">
        <v>75</v>
      </c>
      <c r="AO131" s="5" t="s">
        <v>75</v>
      </c>
      <c r="AP131" s="5" t="s">
        <v>75</v>
      </c>
      <c r="AQ131" s="5" t="s">
        <v>75</v>
      </c>
      <c r="AR131" s="5" t="s">
        <v>75</v>
      </c>
      <c r="AS131" s="5" t="s">
        <v>75</v>
      </c>
      <c r="AT131" s="5" t="s">
        <v>75</v>
      </c>
      <c r="AU131" s="5" t="s">
        <v>1078</v>
      </c>
      <c r="AV131" s="5" t="s">
        <v>1079</v>
      </c>
      <c r="AW131" s="5" t="s">
        <v>1064</v>
      </c>
      <c r="AX131" s="5" t="s">
        <v>1080</v>
      </c>
      <c r="AY131" s="5" t="s">
        <v>1081</v>
      </c>
      <c r="AZ131" s="5" t="s">
        <v>1080</v>
      </c>
      <c r="BA131" s="7" t="s">
        <v>1388</v>
      </c>
      <c r="BB131" s="13" t="str">
        <f t="shared" ref="BB131:BB161" si="8">MID(BA131,9,LEN(BA131))</f>
        <v xml:space="preserve"> Shillong</v>
      </c>
      <c r="BC131" s="5" t="s">
        <v>1081</v>
      </c>
      <c r="BD131" s="5" t="s">
        <v>701</v>
      </c>
      <c r="BE131" s="5" t="s">
        <v>81</v>
      </c>
      <c r="BF131" s="5" t="s">
        <v>82</v>
      </c>
      <c r="BG131" s="5" t="s">
        <v>1082</v>
      </c>
      <c r="BH131" s="5" t="s">
        <v>73</v>
      </c>
      <c r="BI131" s="5" t="s">
        <v>73</v>
      </c>
      <c r="BJ131" s="5" t="s">
        <v>73</v>
      </c>
      <c r="BK131" s="5" t="s">
        <v>1083</v>
      </c>
      <c r="BL131" s="5" t="s">
        <v>73</v>
      </c>
      <c r="BM131" s="12">
        <v>81</v>
      </c>
    </row>
    <row r="132" spans="1:65">
      <c r="A132" s="5" t="s">
        <v>60</v>
      </c>
      <c r="B132" s="5" t="s">
        <v>1058</v>
      </c>
      <c r="C132" s="5" t="s">
        <v>1059</v>
      </c>
      <c r="D132" s="5" t="s">
        <v>1060</v>
      </c>
      <c r="E132" s="5" t="s">
        <v>1061</v>
      </c>
      <c r="F132" s="5" t="s">
        <v>1062</v>
      </c>
      <c r="G132" t="str">
        <f t="shared" si="6"/>
        <v>PSYCH02</v>
      </c>
      <c r="H132" s="5" t="s">
        <v>66</v>
      </c>
      <c r="I132" s="5" t="s">
        <v>138</v>
      </c>
      <c r="J132" s="5" t="s">
        <v>139</v>
      </c>
      <c r="K132" s="5" t="s">
        <v>140</v>
      </c>
      <c r="L132" s="5" t="s">
        <v>69</v>
      </c>
      <c r="M132" s="5" t="s">
        <v>1063</v>
      </c>
      <c r="N132" t="str">
        <f t="shared" si="7"/>
        <v>October</v>
      </c>
      <c r="O132" s="5" t="s">
        <v>1063</v>
      </c>
      <c r="P132" s="5" t="s">
        <v>71</v>
      </c>
      <c r="Q132" s="5" t="s">
        <v>72</v>
      </c>
      <c r="R132" s="5" t="s">
        <v>73</v>
      </c>
      <c r="S132" s="5" t="s">
        <v>1064</v>
      </c>
      <c r="T132" s="5" t="s">
        <v>1065</v>
      </c>
      <c r="U132" s="5" t="s">
        <v>1065</v>
      </c>
      <c r="V132" s="5" t="s">
        <v>75</v>
      </c>
      <c r="W132" s="5" t="s">
        <v>1066</v>
      </c>
      <c r="X132" s="5" t="s">
        <v>75</v>
      </c>
      <c r="Y132" s="5" t="s">
        <v>1066</v>
      </c>
      <c r="Z132" s="5" t="s">
        <v>76</v>
      </c>
      <c r="AA132" s="5" t="s">
        <v>1084</v>
      </c>
      <c r="AB132" s="5" t="s">
        <v>75</v>
      </c>
      <c r="AC132" s="5" t="s">
        <v>75</v>
      </c>
      <c r="AD132" s="5" t="s">
        <v>75</v>
      </c>
      <c r="AE132" s="5" t="s">
        <v>75</v>
      </c>
      <c r="AF132" s="5" t="s">
        <v>75</v>
      </c>
      <c r="AG132" s="5" t="s">
        <v>75</v>
      </c>
      <c r="AH132" s="5" t="s">
        <v>75</v>
      </c>
      <c r="AI132" s="5" t="s">
        <v>75</v>
      </c>
      <c r="AJ132" s="5" t="s">
        <v>75</v>
      </c>
      <c r="AK132" s="5" t="s">
        <v>75</v>
      </c>
      <c r="AL132" s="5" t="s">
        <v>75</v>
      </c>
      <c r="AM132" s="5" t="s">
        <v>75</v>
      </c>
      <c r="AN132" s="5" t="s">
        <v>75</v>
      </c>
      <c r="AO132" s="5" t="s">
        <v>75</v>
      </c>
      <c r="AP132" s="5" t="s">
        <v>75</v>
      </c>
      <c r="AQ132" s="5" t="s">
        <v>75</v>
      </c>
      <c r="AR132" s="5" t="s">
        <v>75</v>
      </c>
      <c r="AS132" s="5" t="s">
        <v>75</v>
      </c>
      <c r="AT132" s="5" t="s">
        <v>75</v>
      </c>
      <c r="AU132" s="5" t="s">
        <v>1085</v>
      </c>
      <c r="AV132" s="5" t="s">
        <v>1086</v>
      </c>
      <c r="AW132" s="5" t="s">
        <v>1084</v>
      </c>
      <c r="AX132" s="5" t="s">
        <v>1069</v>
      </c>
      <c r="AY132" s="5" t="s">
        <v>80</v>
      </c>
      <c r="AZ132" s="5" t="s">
        <v>1069</v>
      </c>
      <c r="BA132" t="s">
        <v>1425</v>
      </c>
      <c r="BB132" s="13" t="str">
        <f t="shared" si="8"/>
        <v xml:space="preserve"> Mangaluru</v>
      </c>
      <c r="BC132" s="5" t="s">
        <v>80</v>
      </c>
      <c r="BD132" s="5" t="s">
        <v>73</v>
      </c>
      <c r="BE132" s="5" t="s">
        <v>81</v>
      </c>
      <c r="BF132" s="5" t="s">
        <v>82</v>
      </c>
      <c r="BG132" s="5" t="s">
        <v>1070</v>
      </c>
      <c r="BH132" s="5" t="s">
        <v>73</v>
      </c>
      <c r="BI132" s="5" t="s">
        <v>73</v>
      </c>
      <c r="BJ132" s="5" t="s">
        <v>73</v>
      </c>
      <c r="BK132" s="5" t="s">
        <v>1071</v>
      </c>
      <c r="BL132" s="5" t="s">
        <v>73</v>
      </c>
      <c r="BM132" s="12">
        <v>79</v>
      </c>
    </row>
    <row r="133" spans="1:65">
      <c r="A133" s="5" t="s">
        <v>60</v>
      </c>
      <c r="B133" s="5" t="s">
        <v>984</v>
      </c>
      <c r="C133" s="5" t="s">
        <v>985</v>
      </c>
      <c r="D133" s="5" t="s">
        <v>877</v>
      </c>
      <c r="E133" s="5" t="s">
        <v>878</v>
      </c>
      <c r="F133" s="5" t="s">
        <v>879</v>
      </c>
      <c r="G133" t="str">
        <f t="shared" si="6"/>
        <v>THE-COURAGE01</v>
      </c>
      <c r="H133" s="5" t="s">
        <v>66</v>
      </c>
      <c r="I133" s="5" t="s">
        <v>138</v>
      </c>
      <c r="J133" s="5" t="s">
        <v>138</v>
      </c>
      <c r="K133" s="5" t="s">
        <v>68</v>
      </c>
      <c r="L133" s="5" t="s">
        <v>69</v>
      </c>
      <c r="M133" s="5" t="s">
        <v>950</v>
      </c>
      <c r="N133" t="str">
        <f t="shared" si="7"/>
        <v>October</v>
      </c>
      <c r="O133" s="5" t="s">
        <v>950</v>
      </c>
      <c r="P133" s="5" t="s">
        <v>71</v>
      </c>
      <c r="Q133" s="5" t="s">
        <v>72</v>
      </c>
      <c r="R133" s="5" t="s">
        <v>73</v>
      </c>
      <c r="S133" s="5" t="s">
        <v>881</v>
      </c>
      <c r="T133" s="5" t="s">
        <v>75</v>
      </c>
      <c r="U133" s="5" t="s">
        <v>75</v>
      </c>
      <c r="V133" s="5" t="s">
        <v>75</v>
      </c>
      <c r="W133" s="5" t="s">
        <v>881</v>
      </c>
      <c r="X133" s="5" t="s">
        <v>75</v>
      </c>
      <c r="Y133" s="5" t="s">
        <v>881</v>
      </c>
      <c r="Z133" s="5" t="s">
        <v>76</v>
      </c>
      <c r="AA133" s="5" t="s">
        <v>1087</v>
      </c>
      <c r="AB133" s="5" t="s">
        <v>75</v>
      </c>
      <c r="AC133" s="5" t="s">
        <v>75</v>
      </c>
      <c r="AD133" s="5" t="s">
        <v>75</v>
      </c>
      <c r="AE133" s="5" t="s">
        <v>75</v>
      </c>
      <c r="AF133" s="5" t="s">
        <v>75</v>
      </c>
      <c r="AG133" s="5" t="s">
        <v>75</v>
      </c>
      <c r="AH133" s="5" t="s">
        <v>75</v>
      </c>
      <c r="AI133" s="5" t="s">
        <v>75</v>
      </c>
      <c r="AJ133" s="5" t="s">
        <v>75</v>
      </c>
      <c r="AK133" s="5" t="s">
        <v>75</v>
      </c>
      <c r="AL133" s="5" t="s">
        <v>75</v>
      </c>
      <c r="AM133" s="5" t="s">
        <v>75</v>
      </c>
      <c r="AN133" s="5" t="s">
        <v>75</v>
      </c>
      <c r="AO133" s="5" t="s">
        <v>75</v>
      </c>
      <c r="AP133" s="5" t="s">
        <v>75</v>
      </c>
      <c r="AQ133" s="5" t="s">
        <v>75</v>
      </c>
      <c r="AR133" s="5" t="s">
        <v>75</v>
      </c>
      <c r="AS133" s="5" t="s">
        <v>75</v>
      </c>
      <c r="AT133" s="5" t="s">
        <v>75</v>
      </c>
      <c r="AU133" s="5" t="s">
        <v>1088</v>
      </c>
      <c r="AV133" s="5" t="s">
        <v>1089</v>
      </c>
      <c r="AW133" s="5" t="s">
        <v>1087</v>
      </c>
      <c r="AX133" s="5" t="s">
        <v>987</v>
      </c>
      <c r="AY133" s="5" t="s">
        <v>715</v>
      </c>
      <c r="AZ133" s="5" t="s">
        <v>987</v>
      </c>
      <c r="BA133" t="s">
        <v>1426</v>
      </c>
      <c r="BB133" s="13" t="str">
        <f t="shared" si="8"/>
        <v xml:space="preserve"> Ambala</v>
      </c>
      <c r="BC133" s="5" t="s">
        <v>715</v>
      </c>
      <c r="BD133" s="5" t="s">
        <v>73</v>
      </c>
      <c r="BE133" s="5" t="s">
        <v>81</v>
      </c>
      <c r="BF133" s="5" t="s">
        <v>82</v>
      </c>
      <c r="BG133" s="5" t="s">
        <v>964</v>
      </c>
      <c r="BH133" s="5" t="s">
        <v>73</v>
      </c>
      <c r="BI133" s="5" t="s">
        <v>73</v>
      </c>
      <c r="BJ133" s="5" t="s">
        <v>73</v>
      </c>
      <c r="BK133" s="5" t="s">
        <v>988</v>
      </c>
      <c r="BL133" s="5" t="s">
        <v>73</v>
      </c>
      <c r="BM133" s="12">
        <v>88</v>
      </c>
    </row>
    <row r="134" spans="1:65">
      <c r="A134" s="5" t="s">
        <v>60</v>
      </c>
      <c r="B134" s="5" t="s">
        <v>1090</v>
      </c>
      <c r="C134" s="5" t="s">
        <v>1091</v>
      </c>
      <c r="D134" s="5" t="s">
        <v>191</v>
      </c>
      <c r="E134" s="5" t="s">
        <v>192</v>
      </c>
      <c r="F134" s="5" t="s">
        <v>193</v>
      </c>
      <c r="G134" t="str">
        <f t="shared" si="6"/>
        <v>THEMAGICTHINKBIG-1</v>
      </c>
      <c r="H134" s="5" t="s">
        <v>66</v>
      </c>
      <c r="I134" s="5" t="s">
        <v>67</v>
      </c>
      <c r="J134" s="5" t="s">
        <v>67</v>
      </c>
      <c r="K134" s="5" t="s">
        <v>68</v>
      </c>
      <c r="L134" s="5" t="s">
        <v>69</v>
      </c>
      <c r="M134" s="5" t="s">
        <v>1092</v>
      </c>
      <c r="N134" t="str">
        <f t="shared" si="7"/>
        <v>October</v>
      </c>
      <c r="O134" s="5" t="s">
        <v>1092</v>
      </c>
      <c r="P134" s="5" t="s">
        <v>71</v>
      </c>
      <c r="Q134" s="5" t="s">
        <v>72</v>
      </c>
      <c r="R134" s="5" t="s">
        <v>73</v>
      </c>
      <c r="S134" s="5" t="s">
        <v>513</v>
      </c>
      <c r="T134" s="5" t="s">
        <v>1093</v>
      </c>
      <c r="U134" s="5" t="s">
        <v>1094</v>
      </c>
      <c r="V134" s="5" t="s">
        <v>1095</v>
      </c>
      <c r="W134" s="5" t="s">
        <v>1096</v>
      </c>
      <c r="X134" s="5" t="s">
        <v>75</v>
      </c>
      <c r="Y134" s="5" t="s">
        <v>1096</v>
      </c>
      <c r="Z134" s="5" t="s">
        <v>76</v>
      </c>
      <c r="AA134" s="5" t="s">
        <v>1096</v>
      </c>
      <c r="AB134" s="5" t="s">
        <v>75</v>
      </c>
      <c r="AC134" s="5" t="s">
        <v>75</v>
      </c>
      <c r="AD134" s="5" t="s">
        <v>75</v>
      </c>
      <c r="AE134" s="5" t="s">
        <v>75</v>
      </c>
      <c r="AF134" s="5" t="s">
        <v>75</v>
      </c>
      <c r="AG134" s="5" t="s">
        <v>75</v>
      </c>
      <c r="AH134" s="5" t="s">
        <v>75</v>
      </c>
      <c r="AI134" s="5" t="s">
        <v>75</v>
      </c>
      <c r="AJ134" s="5" t="s">
        <v>75</v>
      </c>
      <c r="AK134" s="5" t="s">
        <v>75</v>
      </c>
      <c r="AL134" s="5" t="s">
        <v>75</v>
      </c>
      <c r="AM134" s="5" t="s">
        <v>75</v>
      </c>
      <c r="AN134" s="5" t="s">
        <v>75</v>
      </c>
      <c r="AO134" s="5" t="s">
        <v>75</v>
      </c>
      <c r="AP134" s="5" t="s">
        <v>75</v>
      </c>
      <c r="AQ134" s="5" t="s">
        <v>75</v>
      </c>
      <c r="AR134" s="5" t="s">
        <v>75</v>
      </c>
      <c r="AS134" s="5" t="s">
        <v>75</v>
      </c>
      <c r="AT134" s="5" t="s">
        <v>75</v>
      </c>
      <c r="AU134" s="5" t="s">
        <v>1097</v>
      </c>
      <c r="AV134" s="5" t="s">
        <v>1089</v>
      </c>
      <c r="AW134" s="5" t="s">
        <v>1096</v>
      </c>
      <c r="AX134" s="5" t="s">
        <v>1098</v>
      </c>
      <c r="AY134" s="5" t="s">
        <v>395</v>
      </c>
      <c r="AZ134" s="5" t="s">
        <v>1098</v>
      </c>
      <c r="BA134" s="7" t="s">
        <v>1389</v>
      </c>
      <c r="BB134" s="13" t="str">
        <f t="shared" si="8"/>
        <v xml:space="preserve"> Hyderabad</v>
      </c>
      <c r="BC134" s="5" t="s">
        <v>395</v>
      </c>
      <c r="BD134" s="5" t="s">
        <v>198</v>
      </c>
      <c r="BE134" s="5" t="s">
        <v>81</v>
      </c>
      <c r="BF134" s="5" t="s">
        <v>82</v>
      </c>
      <c r="BG134" s="5" t="s">
        <v>1099</v>
      </c>
      <c r="BH134" s="5" t="s">
        <v>73</v>
      </c>
      <c r="BI134" s="5" t="s">
        <v>73</v>
      </c>
      <c r="BJ134" s="5" t="s">
        <v>73</v>
      </c>
      <c r="BK134" s="5" t="s">
        <v>1100</v>
      </c>
      <c r="BL134" s="5" t="s">
        <v>73</v>
      </c>
      <c r="BM134" s="12">
        <v>75</v>
      </c>
    </row>
    <row r="135" spans="1:65">
      <c r="A135" s="5" t="s">
        <v>60</v>
      </c>
      <c r="B135" s="5" t="s">
        <v>1101</v>
      </c>
      <c r="C135" s="5" t="s">
        <v>1102</v>
      </c>
      <c r="D135" s="5" t="s">
        <v>1103</v>
      </c>
      <c r="E135" s="5" t="s">
        <v>1104</v>
      </c>
      <c r="F135" s="5" t="s">
        <v>1105</v>
      </c>
      <c r="G135" t="str">
        <f t="shared" si="6"/>
        <v>ENERGIZE-YOUR-MIND03</v>
      </c>
      <c r="H135" s="5" t="s">
        <v>66</v>
      </c>
      <c r="I135" s="5" t="s">
        <v>67</v>
      </c>
      <c r="J135" s="5" t="s">
        <v>67</v>
      </c>
      <c r="K135" s="5" t="s">
        <v>140</v>
      </c>
      <c r="L135" s="5" t="s">
        <v>69</v>
      </c>
      <c r="M135" s="5" t="s">
        <v>1092</v>
      </c>
      <c r="N135" t="str">
        <f t="shared" si="7"/>
        <v>October</v>
      </c>
      <c r="O135" s="5" t="s">
        <v>1092</v>
      </c>
      <c r="P135" s="5" t="s">
        <v>71</v>
      </c>
      <c r="Q135" s="5" t="s">
        <v>72</v>
      </c>
      <c r="R135" s="5" t="s">
        <v>73</v>
      </c>
      <c r="S135" s="5" t="s">
        <v>881</v>
      </c>
      <c r="T135" s="5" t="s">
        <v>1065</v>
      </c>
      <c r="U135" s="5" t="s">
        <v>1065</v>
      </c>
      <c r="V135" s="5" t="s">
        <v>75</v>
      </c>
      <c r="W135" s="5" t="s">
        <v>1106</v>
      </c>
      <c r="X135" s="5" t="s">
        <v>75</v>
      </c>
      <c r="Y135" s="5" t="s">
        <v>1106</v>
      </c>
      <c r="Z135" s="5" t="s">
        <v>76</v>
      </c>
      <c r="AA135" s="5" t="s">
        <v>1106</v>
      </c>
      <c r="AB135" s="5" t="s">
        <v>75</v>
      </c>
      <c r="AC135" s="5" t="s">
        <v>75</v>
      </c>
      <c r="AD135" s="5" t="s">
        <v>75</v>
      </c>
      <c r="AE135" s="5" t="s">
        <v>75</v>
      </c>
      <c r="AF135" s="5" t="s">
        <v>75</v>
      </c>
      <c r="AG135" s="5" t="s">
        <v>75</v>
      </c>
      <c r="AH135" s="5" t="s">
        <v>75</v>
      </c>
      <c r="AI135" s="5" t="s">
        <v>75</v>
      </c>
      <c r="AJ135" s="5" t="s">
        <v>75</v>
      </c>
      <c r="AK135" s="5" t="s">
        <v>75</v>
      </c>
      <c r="AL135" s="5" t="s">
        <v>75</v>
      </c>
      <c r="AM135" s="5" t="s">
        <v>75</v>
      </c>
      <c r="AN135" s="5" t="s">
        <v>75</v>
      </c>
      <c r="AO135" s="5" t="s">
        <v>75</v>
      </c>
      <c r="AP135" s="5" t="s">
        <v>75</v>
      </c>
      <c r="AQ135" s="5" t="s">
        <v>75</v>
      </c>
      <c r="AR135" s="5" t="s">
        <v>75</v>
      </c>
      <c r="AS135" s="5" t="s">
        <v>75</v>
      </c>
      <c r="AT135" s="5" t="s">
        <v>75</v>
      </c>
      <c r="AU135" s="5" t="s">
        <v>1107</v>
      </c>
      <c r="AV135" s="5" t="s">
        <v>1108</v>
      </c>
      <c r="AW135" s="5" t="s">
        <v>1106</v>
      </c>
      <c r="AX135" s="5" t="s">
        <v>1109</v>
      </c>
      <c r="AY135" s="5" t="s">
        <v>126</v>
      </c>
      <c r="AZ135" s="5" t="s">
        <v>1109</v>
      </c>
      <c r="BA135" s="7" t="s">
        <v>1390</v>
      </c>
      <c r="BB135" s="13" t="str">
        <f t="shared" si="8"/>
        <v xml:space="preserve"> Vellore</v>
      </c>
      <c r="BC135" s="5" t="s">
        <v>126</v>
      </c>
      <c r="BD135" s="5" t="s">
        <v>73</v>
      </c>
      <c r="BE135" s="5" t="s">
        <v>81</v>
      </c>
      <c r="BF135" s="5" t="s">
        <v>82</v>
      </c>
      <c r="BG135" s="5" t="s">
        <v>1110</v>
      </c>
      <c r="BH135" s="5" t="s">
        <v>73</v>
      </c>
      <c r="BI135" s="5" t="s">
        <v>73</v>
      </c>
      <c r="BJ135" s="5" t="s">
        <v>73</v>
      </c>
      <c r="BK135" s="5" t="s">
        <v>1111</v>
      </c>
      <c r="BL135" s="5" t="s">
        <v>73</v>
      </c>
      <c r="BM135" s="12">
        <v>83</v>
      </c>
    </row>
    <row r="136" spans="1:65">
      <c r="A136" s="6" t="s">
        <v>60</v>
      </c>
      <c r="B136" s="6" t="s">
        <v>1112</v>
      </c>
      <c r="C136" s="6" t="s">
        <v>1113</v>
      </c>
      <c r="D136" s="6" t="s">
        <v>1114</v>
      </c>
      <c r="E136" s="6" t="s">
        <v>1115</v>
      </c>
      <c r="F136" s="6" t="s">
        <v>1116</v>
      </c>
      <c r="G136" t="str">
        <f t="shared" si="6"/>
        <v>PSYCH-01</v>
      </c>
      <c r="H136" s="6" t="s">
        <v>66</v>
      </c>
      <c r="I136" s="6" t="s">
        <v>67</v>
      </c>
      <c r="J136" s="6" t="s">
        <v>67</v>
      </c>
      <c r="K136" s="6" t="s">
        <v>68</v>
      </c>
      <c r="L136" s="6" t="s">
        <v>69</v>
      </c>
      <c r="M136" s="6" t="s">
        <v>1117</v>
      </c>
      <c r="N136" t="str">
        <f t="shared" si="7"/>
        <v>November</v>
      </c>
      <c r="O136" s="6" t="s">
        <v>1117</v>
      </c>
      <c r="P136" s="6" t="s">
        <v>71</v>
      </c>
      <c r="Q136" s="6" t="s">
        <v>72</v>
      </c>
      <c r="R136" s="6" t="s">
        <v>73</v>
      </c>
      <c r="S136" s="6" t="s">
        <v>772</v>
      </c>
      <c r="T136" s="6" t="s">
        <v>231</v>
      </c>
      <c r="U136" s="6" t="s">
        <v>75</v>
      </c>
      <c r="V136" s="6" t="s">
        <v>231</v>
      </c>
      <c r="W136" s="6" t="s">
        <v>1118</v>
      </c>
      <c r="X136" s="6" t="s">
        <v>75</v>
      </c>
      <c r="Y136" s="6" t="s">
        <v>1118</v>
      </c>
      <c r="Z136" s="6" t="s">
        <v>76</v>
      </c>
      <c r="AA136" s="6" t="s">
        <v>1118</v>
      </c>
      <c r="AB136" s="6" t="s">
        <v>75</v>
      </c>
      <c r="AC136" s="6" t="s">
        <v>75</v>
      </c>
      <c r="AD136" s="6" t="s">
        <v>75</v>
      </c>
      <c r="AE136" s="6" t="s">
        <v>75</v>
      </c>
      <c r="AF136" s="6" t="s">
        <v>75</v>
      </c>
      <c r="AG136" s="6" t="s">
        <v>75</v>
      </c>
      <c r="AH136" s="6" t="s">
        <v>75</v>
      </c>
      <c r="AI136" s="6" t="s">
        <v>75</v>
      </c>
      <c r="AJ136" s="6" t="s">
        <v>75</v>
      </c>
      <c r="AK136" s="6" t="s">
        <v>75</v>
      </c>
      <c r="AL136" s="6" t="s">
        <v>75</v>
      </c>
      <c r="AM136" s="6" t="s">
        <v>75</v>
      </c>
      <c r="AN136" s="6" t="s">
        <v>75</v>
      </c>
      <c r="AO136" s="6" t="s">
        <v>75</v>
      </c>
      <c r="AP136" s="6" t="s">
        <v>75</v>
      </c>
      <c r="AQ136" s="6" t="s">
        <v>75</v>
      </c>
      <c r="AR136" s="6" t="s">
        <v>75</v>
      </c>
      <c r="AS136" s="6" t="s">
        <v>75</v>
      </c>
      <c r="AT136" s="6" t="s">
        <v>75</v>
      </c>
      <c r="AU136" s="6" t="s">
        <v>1119</v>
      </c>
      <c r="AV136" s="6" t="s">
        <v>1120</v>
      </c>
      <c r="AW136" s="6" t="s">
        <v>1118</v>
      </c>
      <c r="AX136" s="6" t="s">
        <v>1121</v>
      </c>
      <c r="AY136" s="6" t="s">
        <v>117</v>
      </c>
      <c r="AZ136" s="6" t="s">
        <v>1121</v>
      </c>
      <c r="BA136" s="7" t="s">
        <v>1391</v>
      </c>
      <c r="BB136" s="13" t="str">
        <f t="shared" si="8"/>
        <v xml:space="preserve"> Kolhapur</v>
      </c>
      <c r="BC136" s="6" t="s">
        <v>117</v>
      </c>
      <c r="BD136" s="6" t="s">
        <v>73</v>
      </c>
      <c r="BE136" s="6" t="s">
        <v>81</v>
      </c>
      <c r="BF136" s="6" t="s">
        <v>82</v>
      </c>
      <c r="BG136" s="6" t="s">
        <v>1122</v>
      </c>
      <c r="BH136" s="6" t="s">
        <v>73</v>
      </c>
      <c r="BI136" s="6" t="s">
        <v>73</v>
      </c>
      <c r="BJ136" s="6" t="s">
        <v>73</v>
      </c>
      <c r="BK136" s="6" t="s">
        <v>1123</v>
      </c>
      <c r="BL136" s="6" t="s">
        <v>73</v>
      </c>
      <c r="BM136" s="12">
        <v>71</v>
      </c>
    </row>
    <row r="137" spans="1:65">
      <c r="A137" s="6" t="s">
        <v>60</v>
      </c>
      <c r="B137" s="6" t="s">
        <v>1124</v>
      </c>
      <c r="C137" s="6" t="s">
        <v>1125</v>
      </c>
      <c r="D137" s="6" t="s">
        <v>1114</v>
      </c>
      <c r="E137" s="6" t="s">
        <v>1115</v>
      </c>
      <c r="F137" s="6" t="s">
        <v>1116</v>
      </c>
      <c r="G137" t="str">
        <f t="shared" si="6"/>
        <v>PSYCH-01</v>
      </c>
      <c r="H137" s="6" t="s">
        <v>66</v>
      </c>
      <c r="I137" s="6" t="s">
        <v>67</v>
      </c>
      <c r="J137" s="6" t="s">
        <v>67</v>
      </c>
      <c r="K137" s="6" t="s">
        <v>140</v>
      </c>
      <c r="L137" s="6" t="s">
        <v>69</v>
      </c>
      <c r="M137" s="6" t="s">
        <v>1117</v>
      </c>
      <c r="N137" t="str">
        <f t="shared" si="7"/>
        <v>November</v>
      </c>
      <c r="O137" s="6" t="s">
        <v>1117</v>
      </c>
      <c r="P137" s="6" t="s">
        <v>71</v>
      </c>
      <c r="Q137" s="6" t="s">
        <v>72</v>
      </c>
      <c r="R137" s="6" t="s">
        <v>73</v>
      </c>
      <c r="S137" s="6" t="s">
        <v>772</v>
      </c>
      <c r="T137" s="6" t="s">
        <v>231</v>
      </c>
      <c r="U137" s="6" t="s">
        <v>75</v>
      </c>
      <c r="V137" s="6" t="s">
        <v>231</v>
      </c>
      <c r="W137" s="6" t="s">
        <v>1118</v>
      </c>
      <c r="X137" s="6" t="s">
        <v>75</v>
      </c>
      <c r="Y137" s="6" t="s">
        <v>1118</v>
      </c>
      <c r="Z137" s="6" t="s">
        <v>76</v>
      </c>
      <c r="AA137" s="6" t="s">
        <v>1118</v>
      </c>
      <c r="AB137" s="6" t="s">
        <v>75</v>
      </c>
      <c r="AC137" s="6" t="s">
        <v>75</v>
      </c>
      <c r="AD137" s="6" t="s">
        <v>75</v>
      </c>
      <c r="AE137" s="6" t="s">
        <v>75</v>
      </c>
      <c r="AF137" s="6" t="s">
        <v>75</v>
      </c>
      <c r="AG137" s="6" t="s">
        <v>75</v>
      </c>
      <c r="AH137" s="6" t="s">
        <v>75</v>
      </c>
      <c r="AI137" s="6" t="s">
        <v>75</v>
      </c>
      <c r="AJ137" s="6" t="s">
        <v>75</v>
      </c>
      <c r="AK137" s="6" t="s">
        <v>75</v>
      </c>
      <c r="AL137" s="6" t="s">
        <v>75</v>
      </c>
      <c r="AM137" s="6" t="s">
        <v>75</v>
      </c>
      <c r="AN137" s="6" t="s">
        <v>75</v>
      </c>
      <c r="AO137" s="6" t="s">
        <v>75</v>
      </c>
      <c r="AP137" s="6" t="s">
        <v>75</v>
      </c>
      <c r="AQ137" s="6" t="s">
        <v>75</v>
      </c>
      <c r="AR137" s="6" t="s">
        <v>75</v>
      </c>
      <c r="AS137" s="6" t="s">
        <v>75</v>
      </c>
      <c r="AT137" s="6" t="s">
        <v>75</v>
      </c>
      <c r="AU137" s="6" t="s">
        <v>1126</v>
      </c>
      <c r="AV137" s="6" t="s">
        <v>1120</v>
      </c>
      <c r="AW137" s="6" t="s">
        <v>1118</v>
      </c>
      <c r="AX137" s="6" t="s">
        <v>1127</v>
      </c>
      <c r="AY137" s="6" t="s">
        <v>117</v>
      </c>
      <c r="AZ137" s="6" t="s">
        <v>1127</v>
      </c>
      <c r="BA137" s="7" t="s">
        <v>1392</v>
      </c>
      <c r="BB137" s="13" t="str">
        <f t="shared" si="8"/>
        <v xml:space="preserve"> Akola</v>
      </c>
      <c r="BC137" s="6" t="s">
        <v>117</v>
      </c>
      <c r="BD137" s="6" t="s">
        <v>73</v>
      </c>
      <c r="BE137" s="6" t="s">
        <v>81</v>
      </c>
      <c r="BF137" s="6" t="s">
        <v>82</v>
      </c>
      <c r="BG137" s="6" t="s">
        <v>1122</v>
      </c>
      <c r="BH137" s="6" t="s">
        <v>73</v>
      </c>
      <c r="BI137" s="6" t="s">
        <v>73</v>
      </c>
      <c r="BJ137" s="6" t="s">
        <v>73</v>
      </c>
      <c r="BK137" s="6" t="s">
        <v>1128</v>
      </c>
      <c r="BL137" s="6" t="s">
        <v>73</v>
      </c>
      <c r="BM137" s="12">
        <v>87</v>
      </c>
    </row>
    <row r="138" spans="1:65">
      <c r="A138" s="6" t="s">
        <v>60</v>
      </c>
      <c r="B138" s="6" t="s">
        <v>1129</v>
      </c>
      <c r="C138" s="6" t="s">
        <v>1130</v>
      </c>
      <c r="D138" s="6" t="s">
        <v>1131</v>
      </c>
      <c r="E138" s="6" t="s">
        <v>1132</v>
      </c>
      <c r="F138" s="6" t="s">
        <v>1133</v>
      </c>
      <c r="G138" t="str">
        <f t="shared" si="6"/>
        <v>ENERGIZE-YOUR-MIND01</v>
      </c>
      <c r="H138" s="6" t="s">
        <v>66</v>
      </c>
      <c r="I138" s="6" t="s">
        <v>67</v>
      </c>
      <c r="J138" s="6" t="s">
        <v>67</v>
      </c>
      <c r="K138" s="6" t="s">
        <v>68</v>
      </c>
      <c r="L138" s="6" t="s">
        <v>69</v>
      </c>
      <c r="M138" s="6" t="s">
        <v>1134</v>
      </c>
      <c r="N138" t="str">
        <f t="shared" si="7"/>
        <v>November</v>
      </c>
      <c r="O138" s="6" t="s">
        <v>1134</v>
      </c>
      <c r="P138" s="6" t="s">
        <v>71</v>
      </c>
      <c r="Q138" s="6" t="s">
        <v>72</v>
      </c>
      <c r="R138" s="6" t="s">
        <v>73</v>
      </c>
      <c r="S138" s="6" t="s">
        <v>881</v>
      </c>
      <c r="T138" s="6" t="s">
        <v>231</v>
      </c>
      <c r="U138" s="6" t="s">
        <v>75</v>
      </c>
      <c r="V138" s="6" t="s">
        <v>231</v>
      </c>
      <c r="W138" s="6" t="s">
        <v>882</v>
      </c>
      <c r="X138" s="6" t="s">
        <v>75</v>
      </c>
      <c r="Y138" s="6" t="s">
        <v>882</v>
      </c>
      <c r="Z138" s="6" t="s">
        <v>76</v>
      </c>
      <c r="AA138" s="6" t="s">
        <v>882</v>
      </c>
      <c r="AB138" s="6" t="s">
        <v>75</v>
      </c>
      <c r="AC138" s="6" t="s">
        <v>75</v>
      </c>
      <c r="AD138" s="6" t="s">
        <v>75</v>
      </c>
      <c r="AE138" s="6" t="s">
        <v>75</v>
      </c>
      <c r="AF138" s="6" t="s">
        <v>75</v>
      </c>
      <c r="AG138" s="6" t="s">
        <v>75</v>
      </c>
      <c r="AH138" s="6" t="s">
        <v>75</v>
      </c>
      <c r="AI138" s="6" t="s">
        <v>75</v>
      </c>
      <c r="AJ138" s="6" t="s">
        <v>75</v>
      </c>
      <c r="AK138" s="6" t="s">
        <v>75</v>
      </c>
      <c r="AL138" s="6" t="s">
        <v>75</v>
      </c>
      <c r="AM138" s="6" t="s">
        <v>75</v>
      </c>
      <c r="AN138" s="6" t="s">
        <v>75</v>
      </c>
      <c r="AO138" s="6" t="s">
        <v>75</v>
      </c>
      <c r="AP138" s="6" t="s">
        <v>75</v>
      </c>
      <c r="AQ138" s="6" t="s">
        <v>75</v>
      </c>
      <c r="AR138" s="6" t="s">
        <v>75</v>
      </c>
      <c r="AS138" s="6" t="s">
        <v>75</v>
      </c>
      <c r="AT138" s="6" t="s">
        <v>75</v>
      </c>
      <c r="AU138" s="6" t="s">
        <v>1135</v>
      </c>
      <c r="AV138" s="6" t="s">
        <v>1120</v>
      </c>
      <c r="AW138" s="6" t="s">
        <v>882</v>
      </c>
      <c r="AX138" s="6" t="s">
        <v>1136</v>
      </c>
      <c r="AY138" s="6" t="s">
        <v>502</v>
      </c>
      <c r="AZ138" s="6" t="s">
        <v>1136</v>
      </c>
      <c r="BA138" s="7" t="s">
        <v>1393</v>
      </c>
      <c r="BB138" s="13" t="str">
        <f t="shared" si="8"/>
        <v xml:space="preserve"> Jalandhar</v>
      </c>
      <c r="BC138" s="6" t="s">
        <v>502</v>
      </c>
      <c r="BD138" s="6" t="s">
        <v>73</v>
      </c>
      <c r="BE138" s="6" t="s">
        <v>81</v>
      </c>
      <c r="BF138" s="6" t="s">
        <v>82</v>
      </c>
      <c r="BG138" s="6" t="s">
        <v>886</v>
      </c>
      <c r="BH138" s="6" t="s">
        <v>73</v>
      </c>
      <c r="BI138" s="6" t="s">
        <v>73</v>
      </c>
      <c r="BJ138" s="6" t="s">
        <v>73</v>
      </c>
      <c r="BK138" s="6" t="s">
        <v>1137</v>
      </c>
      <c r="BL138" s="6" t="s">
        <v>73</v>
      </c>
      <c r="BM138" s="12">
        <v>82</v>
      </c>
    </row>
    <row r="139" spans="1:65">
      <c r="A139" s="6" t="s">
        <v>60</v>
      </c>
      <c r="B139" s="6" t="s">
        <v>1138</v>
      </c>
      <c r="C139" s="6" t="s">
        <v>1139</v>
      </c>
      <c r="D139" s="6" t="s">
        <v>1131</v>
      </c>
      <c r="E139" s="6" t="s">
        <v>1132</v>
      </c>
      <c r="F139" s="6" t="s">
        <v>1133</v>
      </c>
      <c r="G139" t="str">
        <f t="shared" si="6"/>
        <v>ENERGIZE-YOUR-MIND01</v>
      </c>
      <c r="H139" s="6" t="s">
        <v>66</v>
      </c>
      <c r="I139" s="6" t="s">
        <v>138</v>
      </c>
      <c r="J139" s="6" t="s">
        <v>138</v>
      </c>
      <c r="K139" s="6" t="s">
        <v>68</v>
      </c>
      <c r="L139" s="6" t="s">
        <v>69</v>
      </c>
      <c r="M139" s="6" t="s">
        <v>1140</v>
      </c>
      <c r="N139" t="str">
        <f t="shared" si="7"/>
        <v>November</v>
      </c>
      <c r="O139" s="6" t="s">
        <v>1140</v>
      </c>
      <c r="P139" s="6" t="s">
        <v>71</v>
      </c>
      <c r="Q139" s="6" t="s">
        <v>72</v>
      </c>
      <c r="R139" s="6" t="s">
        <v>73</v>
      </c>
      <c r="S139" s="6" t="s">
        <v>881</v>
      </c>
      <c r="T139" s="6" t="s">
        <v>231</v>
      </c>
      <c r="U139" s="6" t="s">
        <v>75</v>
      </c>
      <c r="V139" s="6" t="s">
        <v>231</v>
      </c>
      <c r="W139" s="6" t="s">
        <v>882</v>
      </c>
      <c r="X139" s="6" t="s">
        <v>75</v>
      </c>
      <c r="Y139" s="6" t="s">
        <v>882</v>
      </c>
      <c r="Z139" s="6" t="s">
        <v>76</v>
      </c>
      <c r="AA139" s="6" t="s">
        <v>1023</v>
      </c>
      <c r="AB139" s="6" t="s">
        <v>75</v>
      </c>
      <c r="AC139" s="6" t="s">
        <v>75</v>
      </c>
      <c r="AD139" s="6" t="s">
        <v>75</v>
      </c>
      <c r="AE139" s="6" t="s">
        <v>75</v>
      </c>
      <c r="AF139" s="6" t="s">
        <v>75</v>
      </c>
      <c r="AG139" s="6" t="s">
        <v>75</v>
      </c>
      <c r="AH139" s="6" t="s">
        <v>75</v>
      </c>
      <c r="AI139" s="6" t="s">
        <v>75</v>
      </c>
      <c r="AJ139" s="6" t="s">
        <v>75</v>
      </c>
      <c r="AK139" s="6" t="s">
        <v>75</v>
      </c>
      <c r="AL139" s="6" t="s">
        <v>75</v>
      </c>
      <c r="AM139" s="6" t="s">
        <v>75</v>
      </c>
      <c r="AN139" s="6" t="s">
        <v>75</v>
      </c>
      <c r="AO139" s="6" t="s">
        <v>75</v>
      </c>
      <c r="AP139" s="6" t="s">
        <v>75</v>
      </c>
      <c r="AQ139" s="6" t="s">
        <v>75</v>
      </c>
      <c r="AR139" s="6" t="s">
        <v>75</v>
      </c>
      <c r="AS139" s="6" t="s">
        <v>75</v>
      </c>
      <c r="AT139" s="6" t="s">
        <v>75</v>
      </c>
      <c r="AU139" s="6" t="s">
        <v>1141</v>
      </c>
      <c r="AV139" s="6" t="s">
        <v>1120</v>
      </c>
      <c r="AW139" s="6" t="s">
        <v>1023</v>
      </c>
      <c r="AX139" s="6" t="s">
        <v>1142</v>
      </c>
      <c r="AY139" s="6" t="s">
        <v>126</v>
      </c>
      <c r="AZ139" s="6" t="s">
        <v>1142</v>
      </c>
      <c r="BA139" s="7" t="s">
        <v>1394</v>
      </c>
      <c r="BB139" s="13" t="str">
        <f t="shared" si="8"/>
        <v xml:space="preserve"> Tiruchirappalli</v>
      </c>
      <c r="BC139" s="6" t="s">
        <v>126</v>
      </c>
      <c r="BD139" s="6" t="s">
        <v>73</v>
      </c>
      <c r="BE139" s="6" t="s">
        <v>81</v>
      </c>
      <c r="BF139" s="6" t="s">
        <v>82</v>
      </c>
      <c r="BG139" s="6" t="s">
        <v>886</v>
      </c>
      <c r="BH139" s="6" t="s">
        <v>73</v>
      </c>
      <c r="BI139" s="6" t="s">
        <v>73</v>
      </c>
      <c r="BJ139" s="6" t="s">
        <v>73</v>
      </c>
      <c r="BK139" s="6" t="s">
        <v>1143</v>
      </c>
      <c r="BL139" s="6" t="s">
        <v>73</v>
      </c>
      <c r="BM139" s="12">
        <v>89</v>
      </c>
    </row>
    <row r="140" spans="1:65">
      <c r="A140" s="6" t="s">
        <v>60</v>
      </c>
      <c r="B140" s="6" t="s">
        <v>1144</v>
      </c>
      <c r="C140" s="6" t="s">
        <v>1145</v>
      </c>
      <c r="D140" s="6" t="s">
        <v>1131</v>
      </c>
      <c r="E140" s="6" t="s">
        <v>1132</v>
      </c>
      <c r="F140" s="6" t="s">
        <v>1133</v>
      </c>
      <c r="G140" t="str">
        <f t="shared" si="6"/>
        <v>ENERGIZE-YOUR-MIND01</v>
      </c>
      <c r="H140" s="6" t="s">
        <v>66</v>
      </c>
      <c r="I140" s="6" t="s">
        <v>67</v>
      </c>
      <c r="J140" s="6" t="s">
        <v>67</v>
      </c>
      <c r="K140" s="6" t="s">
        <v>68</v>
      </c>
      <c r="L140" s="6" t="s">
        <v>69</v>
      </c>
      <c r="M140" s="6" t="s">
        <v>1146</v>
      </c>
      <c r="N140" t="str">
        <f t="shared" si="7"/>
        <v>November</v>
      </c>
      <c r="O140" s="6" t="s">
        <v>1146</v>
      </c>
      <c r="P140" s="6" t="s">
        <v>71</v>
      </c>
      <c r="Q140" s="6" t="s">
        <v>72</v>
      </c>
      <c r="R140" s="6" t="s">
        <v>73</v>
      </c>
      <c r="S140" s="6" t="s">
        <v>881</v>
      </c>
      <c r="T140" s="6" t="s">
        <v>1065</v>
      </c>
      <c r="U140" s="6" t="s">
        <v>1065</v>
      </c>
      <c r="V140" s="6" t="s">
        <v>75</v>
      </c>
      <c r="W140" s="6" t="s">
        <v>1106</v>
      </c>
      <c r="X140" s="6" t="s">
        <v>75</v>
      </c>
      <c r="Y140" s="6" t="s">
        <v>1106</v>
      </c>
      <c r="Z140" s="6" t="s">
        <v>76</v>
      </c>
      <c r="AA140" s="6" t="s">
        <v>1106</v>
      </c>
      <c r="AB140" s="6" t="s">
        <v>75</v>
      </c>
      <c r="AC140" s="6" t="s">
        <v>75</v>
      </c>
      <c r="AD140" s="6" t="s">
        <v>75</v>
      </c>
      <c r="AE140" s="6" t="s">
        <v>75</v>
      </c>
      <c r="AF140" s="6" t="s">
        <v>75</v>
      </c>
      <c r="AG140" s="6" t="s">
        <v>75</v>
      </c>
      <c r="AH140" s="6" t="s">
        <v>75</v>
      </c>
      <c r="AI140" s="6" t="s">
        <v>75</v>
      </c>
      <c r="AJ140" s="6" t="s">
        <v>75</v>
      </c>
      <c r="AK140" s="6" t="s">
        <v>75</v>
      </c>
      <c r="AL140" s="6" t="s">
        <v>75</v>
      </c>
      <c r="AM140" s="6" t="s">
        <v>75</v>
      </c>
      <c r="AN140" s="6" t="s">
        <v>75</v>
      </c>
      <c r="AO140" s="6" t="s">
        <v>75</v>
      </c>
      <c r="AP140" s="6" t="s">
        <v>75</v>
      </c>
      <c r="AQ140" s="6" t="s">
        <v>75</v>
      </c>
      <c r="AR140" s="6" t="s">
        <v>75</v>
      </c>
      <c r="AS140" s="6" t="s">
        <v>75</v>
      </c>
      <c r="AT140" s="6" t="s">
        <v>75</v>
      </c>
      <c r="AU140" s="6" t="s">
        <v>1147</v>
      </c>
      <c r="AV140" s="6" t="s">
        <v>1148</v>
      </c>
      <c r="AW140" s="6" t="s">
        <v>1106</v>
      </c>
      <c r="AX140" s="6" t="s">
        <v>1149</v>
      </c>
      <c r="AY140" s="6" t="s">
        <v>80</v>
      </c>
      <c r="AZ140" s="6" t="s">
        <v>1149</v>
      </c>
      <c r="BA140" s="7" t="s">
        <v>1395</v>
      </c>
      <c r="BB140" s="13" t="str">
        <f t="shared" si="8"/>
        <v xml:space="preserve"> Bengaluru</v>
      </c>
      <c r="BC140" s="6" t="s">
        <v>80</v>
      </c>
      <c r="BD140" s="6" t="s">
        <v>73</v>
      </c>
      <c r="BE140" s="6" t="s">
        <v>81</v>
      </c>
      <c r="BF140" s="6" t="s">
        <v>82</v>
      </c>
      <c r="BG140" s="6" t="s">
        <v>1110</v>
      </c>
      <c r="BH140" s="6" t="s">
        <v>73</v>
      </c>
      <c r="BI140" s="6" t="s">
        <v>73</v>
      </c>
      <c r="BJ140" s="6" t="s">
        <v>73</v>
      </c>
      <c r="BK140" s="6" t="s">
        <v>1150</v>
      </c>
      <c r="BL140" s="6" t="s">
        <v>73</v>
      </c>
      <c r="BM140" s="12">
        <v>73</v>
      </c>
    </row>
    <row r="141" spans="1:65">
      <c r="A141" s="6" t="s">
        <v>60</v>
      </c>
      <c r="B141" s="6" t="s">
        <v>1151</v>
      </c>
      <c r="C141" s="6" t="s">
        <v>1152</v>
      </c>
      <c r="D141" s="6" t="s">
        <v>1153</v>
      </c>
      <c r="E141" s="6" t="s">
        <v>1154</v>
      </c>
      <c r="F141" s="6" t="s">
        <v>1155</v>
      </c>
      <c r="G141" t="str">
        <f t="shared" si="6"/>
        <v>ENERGIZE-YOUR-MIND02</v>
      </c>
      <c r="H141" s="6" t="s">
        <v>66</v>
      </c>
      <c r="I141" s="6" t="s">
        <v>67</v>
      </c>
      <c r="J141" s="6" t="s">
        <v>67</v>
      </c>
      <c r="K141" s="6" t="s">
        <v>68</v>
      </c>
      <c r="L141" s="6" t="s">
        <v>69</v>
      </c>
      <c r="M141" s="6" t="s">
        <v>1156</v>
      </c>
      <c r="N141" t="str">
        <f t="shared" si="7"/>
        <v>November</v>
      </c>
      <c r="O141" s="6" t="s">
        <v>1156</v>
      </c>
      <c r="P141" s="6" t="s">
        <v>71</v>
      </c>
      <c r="Q141" s="6" t="s">
        <v>72</v>
      </c>
      <c r="R141" s="6" t="s">
        <v>73</v>
      </c>
      <c r="S141" s="6" t="s">
        <v>881</v>
      </c>
      <c r="T141" s="6" t="s">
        <v>1065</v>
      </c>
      <c r="U141" s="6" t="s">
        <v>1065</v>
      </c>
      <c r="V141" s="6" t="s">
        <v>75</v>
      </c>
      <c r="W141" s="6" t="s">
        <v>1106</v>
      </c>
      <c r="X141" s="6" t="s">
        <v>75</v>
      </c>
      <c r="Y141" s="6" t="s">
        <v>1106</v>
      </c>
      <c r="Z141" s="6" t="s">
        <v>76</v>
      </c>
      <c r="AA141" s="6" t="s">
        <v>1106</v>
      </c>
      <c r="AB141" s="6" t="s">
        <v>75</v>
      </c>
      <c r="AC141" s="6" t="s">
        <v>75</v>
      </c>
      <c r="AD141" s="6" t="s">
        <v>75</v>
      </c>
      <c r="AE141" s="6" t="s">
        <v>75</v>
      </c>
      <c r="AF141" s="6" t="s">
        <v>75</v>
      </c>
      <c r="AG141" s="6" t="s">
        <v>75</v>
      </c>
      <c r="AH141" s="6" t="s">
        <v>75</v>
      </c>
      <c r="AI141" s="6" t="s">
        <v>75</v>
      </c>
      <c r="AJ141" s="6" t="s">
        <v>75</v>
      </c>
      <c r="AK141" s="6" t="s">
        <v>75</v>
      </c>
      <c r="AL141" s="6" t="s">
        <v>75</v>
      </c>
      <c r="AM141" s="6" t="s">
        <v>75</v>
      </c>
      <c r="AN141" s="6" t="s">
        <v>75</v>
      </c>
      <c r="AO141" s="6" t="s">
        <v>75</v>
      </c>
      <c r="AP141" s="6" t="s">
        <v>75</v>
      </c>
      <c r="AQ141" s="6" t="s">
        <v>75</v>
      </c>
      <c r="AR141" s="6" t="s">
        <v>75</v>
      </c>
      <c r="AS141" s="6" t="s">
        <v>75</v>
      </c>
      <c r="AT141" s="6" t="s">
        <v>75</v>
      </c>
      <c r="AU141" s="6" t="s">
        <v>1157</v>
      </c>
      <c r="AV141" s="6" t="s">
        <v>1158</v>
      </c>
      <c r="AW141" s="6" t="s">
        <v>1106</v>
      </c>
      <c r="AX141" s="6" t="s">
        <v>1159</v>
      </c>
      <c r="AY141" s="6" t="s">
        <v>117</v>
      </c>
      <c r="AZ141" s="6" t="s">
        <v>1159</v>
      </c>
      <c r="BA141" s="11" t="s">
        <v>1427</v>
      </c>
      <c r="BB141" s="13" t="str">
        <f t="shared" si="8"/>
        <v xml:space="preserve"> Yavatmal</v>
      </c>
      <c r="BC141" s="6" t="s">
        <v>117</v>
      </c>
      <c r="BD141" s="6" t="s">
        <v>73</v>
      </c>
      <c r="BE141" s="6" t="s">
        <v>81</v>
      </c>
      <c r="BF141" s="6" t="s">
        <v>82</v>
      </c>
      <c r="BG141" s="6" t="s">
        <v>1110</v>
      </c>
      <c r="BH141" s="6" t="s">
        <v>73</v>
      </c>
      <c r="BI141" s="6" t="s">
        <v>73</v>
      </c>
      <c r="BJ141" s="6" t="s">
        <v>73</v>
      </c>
      <c r="BK141" s="6" t="s">
        <v>1160</v>
      </c>
      <c r="BL141" s="6" t="s">
        <v>73</v>
      </c>
      <c r="BM141" s="12">
        <v>80</v>
      </c>
    </row>
    <row r="142" spans="1:65">
      <c r="A142" s="6" t="s">
        <v>60</v>
      </c>
      <c r="B142" s="6" t="s">
        <v>1161</v>
      </c>
      <c r="C142" s="6" t="s">
        <v>1162</v>
      </c>
      <c r="D142" s="6" t="s">
        <v>525</v>
      </c>
      <c r="E142" s="6" t="s">
        <v>526</v>
      </c>
      <c r="F142" s="6" t="s">
        <v>527</v>
      </c>
      <c r="G142" t="str">
        <f t="shared" si="6"/>
        <v>WHO-WILL-CRY01</v>
      </c>
      <c r="H142" s="6" t="s">
        <v>66</v>
      </c>
      <c r="I142" s="6" t="s">
        <v>67</v>
      </c>
      <c r="J142" s="6" t="s">
        <v>67</v>
      </c>
      <c r="K142" s="6" t="s">
        <v>140</v>
      </c>
      <c r="L142" s="6" t="s">
        <v>69</v>
      </c>
      <c r="M142" s="6" t="s">
        <v>1117</v>
      </c>
      <c r="N142" t="str">
        <f t="shared" si="7"/>
        <v>November</v>
      </c>
      <c r="O142" s="6" t="s">
        <v>1117</v>
      </c>
      <c r="P142" s="6" t="s">
        <v>71</v>
      </c>
      <c r="Q142" s="6" t="s">
        <v>72</v>
      </c>
      <c r="R142" s="6" t="s">
        <v>73</v>
      </c>
      <c r="S142" s="6" t="s">
        <v>281</v>
      </c>
      <c r="T142" s="6" t="s">
        <v>1163</v>
      </c>
      <c r="U142" s="6" t="s">
        <v>75</v>
      </c>
      <c r="V142" s="6" t="s">
        <v>1163</v>
      </c>
      <c r="W142" s="6" t="s">
        <v>943</v>
      </c>
      <c r="X142" s="6" t="s">
        <v>75</v>
      </c>
      <c r="Y142" s="6" t="s">
        <v>943</v>
      </c>
      <c r="Z142" s="6" t="s">
        <v>76</v>
      </c>
      <c r="AA142" s="6" t="s">
        <v>943</v>
      </c>
      <c r="AB142" s="6" t="s">
        <v>75</v>
      </c>
      <c r="AC142" s="6" t="s">
        <v>75</v>
      </c>
      <c r="AD142" s="6" t="s">
        <v>75</v>
      </c>
      <c r="AE142" s="6" t="s">
        <v>75</v>
      </c>
      <c r="AF142" s="6" t="s">
        <v>75</v>
      </c>
      <c r="AG142" s="6" t="s">
        <v>75</v>
      </c>
      <c r="AH142" s="6" t="s">
        <v>75</v>
      </c>
      <c r="AI142" s="6" t="s">
        <v>75</v>
      </c>
      <c r="AJ142" s="6" t="s">
        <v>75</v>
      </c>
      <c r="AK142" s="6" t="s">
        <v>75</v>
      </c>
      <c r="AL142" s="6" t="s">
        <v>75</v>
      </c>
      <c r="AM142" s="6" t="s">
        <v>75</v>
      </c>
      <c r="AN142" s="6" t="s">
        <v>75</v>
      </c>
      <c r="AO142" s="6" t="s">
        <v>75</v>
      </c>
      <c r="AP142" s="6" t="s">
        <v>75</v>
      </c>
      <c r="AQ142" s="6" t="s">
        <v>75</v>
      </c>
      <c r="AR142" s="6" t="s">
        <v>75</v>
      </c>
      <c r="AS142" s="6" t="s">
        <v>75</v>
      </c>
      <c r="AT142" s="6" t="s">
        <v>75</v>
      </c>
      <c r="AU142" s="6" t="s">
        <v>1164</v>
      </c>
      <c r="AV142" s="6" t="s">
        <v>1165</v>
      </c>
      <c r="AW142" s="6" t="s">
        <v>943</v>
      </c>
      <c r="AX142" s="6" t="s">
        <v>1166</v>
      </c>
      <c r="AY142" s="6" t="s">
        <v>124</v>
      </c>
      <c r="AZ142" s="6" t="s">
        <v>1166</v>
      </c>
      <c r="BA142" s="7" t="s">
        <v>1396</v>
      </c>
      <c r="BB142" s="13" t="str">
        <f t="shared" si="8"/>
        <v xml:space="preserve"> Valsad</v>
      </c>
      <c r="BC142" s="6" t="s">
        <v>124</v>
      </c>
      <c r="BD142" s="6" t="s">
        <v>73</v>
      </c>
      <c r="BE142" s="6" t="s">
        <v>81</v>
      </c>
      <c r="BF142" s="6" t="s">
        <v>82</v>
      </c>
      <c r="BG142" s="6" t="s">
        <v>946</v>
      </c>
      <c r="BH142" s="6" t="s">
        <v>73</v>
      </c>
      <c r="BI142" s="6" t="s">
        <v>73</v>
      </c>
      <c r="BJ142" s="6" t="s">
        <v>73</v>
      </c>
      <c r="BK142" s="6" t="s">
        <v>1167</v>
      </c>
      <c r="BL142" s="6" t="s">
        <v>73</v>
      </c>
      <c r="BM142" s="12">
        <v>77</v>
      </c>
    </row>
    <row r="143" spans="1:65">
      <c r="A143" s="6" t="s">
        <v>60</v>
      </c>
      <c r="B143" s="6" t="s">
        <v>1168</v>
      </c>
      <c r="C143" s="6" t="s">
        <v>1169</v>
      </c>
      <c r="D143" s="6" t="s">
        <v>1170</v>
      </c>
      <c r="E143" s="6" t="s">
        <v>1171</v>
      </c>
      <c r="F143" s="6" t="s">
        <v>1172</v>
      </c>
      <c r="G143" t="str">
        <f t="shared" si="6"/>
        <v>ELON-MUSK01</v>
      </c>
      <c r="H143" s="6" t="s">
        <v>66</v>
      </c>
      <c r="I143" s="6" t="s">
        <v>67</v>
      </c>
      <c r="J143" s="6" t="s">
        <v>67</v>
      </c>
      <c r="K143" s="6" t="s">
        <v>140</v>
      </c>
      <c r="L143" s="6" t="s">
        <v>69</v>
      </c>
      <c r="M143" s="6" t="s">
        <v>1117</v>
      </c>
      <c r="N143" t="str">
        <f t="shared" si="7"/>
        <v>November</v>
      </c>
      <c r="O143" s="6" t="s">
        <v>1117</v>
      </c>
      <c r="P143" s="6" t="s">
        <v>71</v>
      </c>
      <c r="Q143" s="6" t="s">
        <v>72</v>
      </c>
      <c r="R143" s="6" t="s">
        <v>73</v>
      </c>
      <c r="S143" s="6" t="s">
        <v>221</v>
      </c>
      <c r="T143" s="6" t="s">
        <v>181</v>
      </c>
      <c r="U143" s="6" t="s">
        <v>181</v>
      </c>
      <c r="V143" s="6" t="s">
        <v>75</v>
      </c>
      <c r="W143" s="6" t="s">
        <v>1173</v>
      </c>
      <c r="X143" s="6" t="s">
        <v>75</v>
      </c>
      <c r="Y143" s="6" t="s">
        <v>1173</v>
      </c>
      <c r="Z143" s="6" t="s">
        <v>76</v>
      </c>
      <c r="AA143" s="6" t="s">
        <v>1173</v>
      </c>
      <c r="AB143" s="6" t="s">
        <v>75</v>
      </c>
      <c r="AC143" s="6" t="s">
        <v>75</v>
      </c>
      <c r="AD143" s="6" t="s">
        <v>75</v>
      </c>
      <c r="AE143" s="6" t="s">
        <v>75</v>
      </c>
      <c r="AF143" s="6" t="s">
        <v>75</v>
      </c>
      <c r="AG143" s="6" t="s">
        <v>75</v>
      </c>
      <c r="AH143" s="6" t="s">
        <v>75</v>
      </c>
      <c r="AI143" s="6" t="s">
        <v>75</v>
      </c>
      <c r="AJ143" s="6" t="s">
        <v>75</v>
      </c>
      <c r="AK143" s="6" t="s">
        <v>75</v>
      </c>
      <c r="AL143" s="6" t="s">
        <v>75</v>
      </c>
      <c r="AM143" s="6" t="s">
        <v>75</v>
      </c>
      <c r="AN143" s="6" t="s">
        <v>75</v>
      </c>
      <c r="AO143" s="6" t="s">
        <v>75</v>
      </c>
      <c r="AP143" s="6" t="s">
        <v>75</v>
      </c>
      <c r="AQ143" s="6" t="s">
        <v>75</v>
      </c>
      <c r="AR143" s="6" t="s">
        <v>75</v>
      </c>
      <c r="AS143" s="6" t="s">
        <v>75</v>
      </c>
      <c r="AT143" s="6" t="s">
        <v>75</v>
      </c>
      <c r="AU143" s="6" t="s">
        <v>1174</v>
      </c>
      <c r="AV143" s="6" t="s">
        <v>1165</v>
      </c>
      <c r="AW143" s="6" t="s">
        <v>1173</v>
      </c>
      <c r="AX143" s="6" t="s">
        <v>1175</v>
      </c>
      <c r="AY143" s="6" t="s">
        <v>117</v>
      </c>
      <c r="AZ143" s="6" t="s">
        <v>1175</v>
      </c>
      <c r="BA143" t="s">
        <v>1412</v>
      </c>
      <c r="BB143" s="13" t="str">
        <f t="shared" si="8"/>
        <v xml:space="preserve"> Jalgaon</v>
      </c>
      <c r="BC143" s="6" t="s">
        <v>117</v>
      </c>
      <c r="BD143" s="6" t="s">
        <v>73</v>
      </c>
      <c r="BE143" s="6" t="s">
        <v>81</v>
      </c>
      <c r="BF143" s="6" t="s">
        <v>82</v>
      </c>
      <c r="BG143" s="6" t="s">
        <v>1176</v>
      </c>
      <c r="BH143" s="6" t="s">
        <v>73</v>
      </c>
      <c r="BI143" s="6" t="s">
        <v>73</v>
      </c>
      <c r="BJ143" s="6" t="s">
        <v>73</v>
      </c>
      <c r="BK143" s="6" t="s">
        <v>1177</v>
      </c>
      <c r="BL143" s="6" t="s">
        <v>73</v>
      </c>
      <c r="BM143" s="12">
        <v>84</v>
      </c>
    </row>
    <row r="144" spans="1:65">
      <c r="A144" s="6" t="s">
        <v>60</v>
      </c>
      <c r="B144" s="6" t="s">
        <v>1168</v>
      </c>
      <c r="C144" s="6" t="s">
        <v>1169</v>
      </c>
      <c r="D144" s="6" t="s">
        <v>1170</v>
      </c>
      <c r="E144" s="6" t="s">
        <v>1171</v>
      </c>
      <c r="F144" s="6" t="s">
        <v>1172</v>
      </c>
      <c r="G144" t="str">
        <f t="shared" si="6"/>
        <v>ELON-MUSK01</v>
      </c>
      <c r="H144" s="6" t="s">
        <v>66</v>
      </c>
      <c r="I144" s="6" t="s">
        <v>138</v>
      </c>
      <c r="J144" s="6" t="s">
        <v>139</v>
      </c>
      <c r="K144" s="6" t="s">
        <v>140</v>
      </c>
      <c r="L144" s="6" t="s">
        <v>69</v>
      </c>
      <c r="M144" s="6" t="s">
        <v>1117</v>
      </c>
      <c r="N144" t="str">
        <f t="shared" si="7"/>
        <v>November</v>
      </c>
      <c r="O144" s="6" t="s">
        <v>1117</v>
      </c>
      <c r="P144" s="6" t="s">
        <v>71</v>
      </c>
      <c r="Q144" s="6" t="s">
        <v>72</v>
      </c>
      <c r="R144" s="6" t="s">
        <v>73</v>
      </c>
      <c r="S144" s="6" t="s">
        <v>221</v>
      </c>
      <c r="T144" s="6" t="s">
        <v>181</v>
      </c>
      <c r="U144" s="6" t="s">
        <v>181</v>
      </c>
      <c r="V144" s="6" t="s">
        <v>75</v>
      </c>
      <c r="W144" s="6" t="s">
        <v>1173</v>
      </c>
      <c r="X144" s="6" t="s">
        <v>75</v>
      </c>
      <c r="Y144" s="6" t="s">
        <v>1173</v>
      </c>
      <c r="Z144" s="6" t="s">
        <v>76</v>
      </c>
      <c r="AA144" s="6" t="s">
        <v>1178</v>
      </c>
      <c r="AB144" s="6" t="s">
        <v>75</v>
      </c>
      <c r="AC144" s="6" t="s">
        <v>75</v>
      </c>
      <c r="AD144" s="6" t="s">
        <v>75</v>
      </c>
      <c r="AE144" s="6" t="s">
        <v>75</v>
      </c>
      <c r="AF144" s="6" t="s">
        <v>75</v>
      </c>
      <c r="AG144" s="6" t="s">
        <v>75</v>
      </c>
      <c r="AH144" s="6" t="s">
        <v>75</v>
      </c>
      <c r="AI144" s="6" t="s">
        <v>75</v>
      </c>
      <c r="AJ144" s="6" t="s">
        <v>75</v>
      </c>
      <c r="AK144" s="6" t="s">
        <v>75</v>
      </c>
      <c r="AL144" s="6" t="s">
        <v>75</v>
      </c>
      <c r="AM144" s="6" t="s">
        <v>75</v>
      </c>
      <c r="AN144" s="6" t="s">
        <v>75</v>
      </c>
      <c r="AO144" s="6" t="s">
        <v>75</v>
      </c>
      <c r="AP144" s="6" t="s">
        <v>75</v>
      </c>
      <c r="AQ144" s="6" t="s">
        <v>75</v>
      </c>
      <c r="AR144" s="6" t="s">
        <v>75</v>
      </c>
      <c r="AS144" s="6" t="s">
        <v>75</v>
      </c>
      <c r="AT144" s="6" t="s">
        <v>75</v>
      </c>
      <c r="AU144" s="6" t="s">
        <v>1179</v>
      </c>
      <c r="AV144" s="6" t="s">
        <v>1165</v>
      </c>
      <c r="AW144" s="6" t="s">
        <v>1178</v>
      </c>
      <c r="AX144" s="6" t="s">
        <v>1175</v>
      </c>
      <c r="AY144" s="6" t="s">
        <v>117</v>
      </c>
      <c r="AZ144" s="6" t="s">
        <v>1175</v>
      </c>
      <c r="BA144" t="s">
        <v>1412</v>
      </c>
      <c r="BB144" s="13" t="str">
        <f t="shared" si="8"/>
        <v xml:space="preserve"> Jalgaon</v>
      </c>
      <c r="BC144" s="6" t="s">
        <v>117</v>
      </c>
      <c r="BD144" s="6" t="s">
        <v>73</v>
      </c>
      <c r="BE144" s="6" t="s">
        <v>81</v>
      </c>
      <c r="BF144" s="6" t="s">
        <v>82</v>
      </c>
      <c r="BG144" s="6" t="s">
        <v>1176</v>
      </c>
      <c r="BH144" s="6" t="s">
        <v>73</v>
      </c>
      <c r="BI144" s="6" t="s">
        <v>73</v>
      </c>
      <c r="BJ144" s="6" t="s">
        <v>73</v>
      </c>
      <c r="BK144" s="6" t="s">
        <v>1177</v>
      </c>
      <c r="BL144" s="6" t="s">
        <v>73</v>
      </c>
      <c r="BM144" s="12">
        <v>86</v>
      </c>
    </row>
    <row r="145" spans="1:65">
      <c r="A145" s="6" t="s">
        <v>60</v>
      </c>
      <c r="B145" s="6" t="s">
        <v>1180</v>
      </c>
      <c r="C145" s="6" t="s">
        <v>1181</v>
      </c>
      <c r="D145" s="6" t="s">
        <v>1182</v>
      </c>
      <c r="E145" s="6" t="s">
        <v>1183</v>
      </c>
      <c r="F145" s="6" t="s">
        <v>1184</v>
      </c>
      <c r="G145" t="str">
        <f t="shared" si="6"/>
        <v>THE-MAGIC05</v>
      </c>
      <c r="H145" s="6" t="s">
        <v>66</v>
      </c>
      <c r="I145" s="6" t="s">
        <v>67</v>
      </c>
      <c r="J145" s="6" t="s">
        <v>67</v>
      </c>
      <c r="K145" s="6" t="s">
        <v>140</v>
      </c>
      <c r="L145" s="6" t="s">
        <v>69</v>
      </c>
      <c r="M145" s="6" t="s">
        <v>1185</v>
      </c>
      <c r="N145" t="str">
        <f t="shared" si="7"/>
        <v>November</v>
      </c>
      <c r="O145" s="6" t="s">
        <v>1185</v>
      </c>
      <c r="P145" s="6" t="s">
        <v>71</v>
      </c>
      <c r="Q145" s="6" t="s">
        <v>72</v>
      </c>
      <c r="R145" s="6" t="s">
        <v>73</v>
      </c>
      <c r="S145" s="6" t="s">
        <v>614</v>
      </c>
      <c r="T145" s="6" t="s">
        <v>702</v>
      </c>
      <c r="U145" s="6" t="s">
        <v>702</v>
      </c>
      <c r="V145" s="6" t="s">
        <v>75</v>
      </c>
      <c r="W145" s="6" t="s">
        <v>1186</v>
      </c>
      <c r="X145" s="6" t="s">
        <v>75</v>
      </c>
      <c r="Y145" s="6" t="s">
        <v>1186</v>
      </c>
      <c r="Z145" s="6" t="s">
        <v>76</v>
      </c>
      <c r="AA145" s="6" t="s">
        <v>1186</v>
      </c>
      <c r="AB145" s="6" t="s">
        <v>75</v>
      </c>
      <c r="AC145" s="6" t="s">
        <v>75</v>
      </c>
      <c r="AD145" s="6" t="s">
        <v>75</v>
      </c>
      <c r="AE145" s="6" t="s">
        <v>75</v>
      </c>
      <c r="AF145" s="6" t="s">
        <v>75</v>
      </c>
      <c r="AG145" s="6" t="s">
        <v>75</v>
      </c>
      <c r="AH145" s="6" t="s">
        <v>75</v>
      </c>
      <c r="AI145" s="6" t="s">
        <v>75</v>
      </c>
      <c r="AJ145" s="6" t="s">
        <v>75</v>
      </c>
      <c r="AK145" s="6" t="s">
        <v>75</v>
      </c>
      <c r="AL145" s="6" t="s">
        <v>75</v>
      </c>
      <c r="AM145" s="6" t="s">
        <v>75</v>
      </c>
      <c r="AN145" s="6" t="s">
        <v>75</v>
      </c>
      <c r="AO145" s="6" t="s">
        <v>75</v>
      </c>
      <c r="AP145" s="6" t="s">
        <v>75</v>
      </c>
      <c r="AQ145" s="6" t="s">
        <v>75</v>
      </c>
      <c r="AR145" s="6" t="s">
        <v>75</v>
      </c>
      <c r="AS145" s="6" t="s">
        <v>75</v>
      </c>
      <c r="AT145" s="6" t="s">
        <v>75</v>
      </c>
      <c r="AU145" s="6" t="s">
        <v>1187</v>
      </c>
      <c r="AV145" s="6" t="s">
        <v>1158</v>
      </c>
      <c r="AW145" s="6" t="s">
        <v>1186</v>
      </c>
      <c r="AX145" s="6" t="s">
        <v>1188</v>
      </c>
      <c r="AY145" s="6" t="s">
        <v>147</v>
      </c>
      <c r="AZ145" s="6" t="s">
        <v>1188</v>
      </c>
      <c r="BA145" t="s">
        <v>1413</v>
      </c>
      <c r="BB145" s="13" t="str">
        <f t="shared" si="8"/>
        <v xml:space="preserve"> Guwahati</v>
      </c>
      <c r="BC145" s="6" t="s">
        <v>147</v>
      </c>
      <c r="BD145" s="6" t="s">
        <v>73</v>
      </c>
      <c r="BE145" s="6" t="s">
        <v>81</v>
      </c>
      <c r="BF145" s="6" t="s">
        <v>82</v>
      </c>
      <c r="BG145" s="6" t="s">
        <v>1189</v>
      </c>
      <c r="BH145" s="6" t="s">
        <v>73</v>
      </c>
      <c r="BI145" s="6" t="s">
        <v>73</v>
      </c>
      <c r="BJ145" s="6" t="s">
        <v>73</v>
      </c>
      <c r="BK145" s="6" t="s">
        <v>1190</v>
      </c>
      <c r="BL145" s="6" t="s">
        <v>73</v>
      </c>
      <c r="BM145" s="12">
        <v>74</v>
      </c>
    </row>
    <row r="146" spans="1:65">
      <c r="A146" s="6" t="s">
        <v>60</v>
      </c>
      <c r="B146" s="6" t="s">
        <v>1138</v>
      </c>
      <c r="C146" s="6" t="s">
        <v>1139</v>
      </c>
      <c r="D146" s="6" t="s">
        <v>1131</v>
      </c>
      <c r="E146" s="6" t="s">
        <v>1132</v>
      </c>
      <c r="F146" s="6" t="s">
        <v>1133</v>
      </c>
      <c r="G146" t="str">
        <f t="shared" si="6"/>
        <v>ENERGIZE-YOUR-MIND01</v>
      </c>
      <c r="H146" s="6" t="s">
        <v>66</v>
      </c>
      <c r="I146" s="6" t="s">
        <v>67</v>
      </c>
      <c r="J146" s="6" t="s">
        <v>67</v>
      </c>
      <c r="K146" s="6" t="s">
        <v>68</v>
      </c>
      <c r="L146" s="6" t="s">
        <v>69</v>
      </c>
      <c r="M146" s="6" t="s">
        <v>1140</v>
      </c>
      <c r="N146" t="str">
        <f t="shared" si="7"/>
        <v>November</v>
      </c>
      <c r="O146" s="6" t="s">
        <v>1140</v>
      </c>
      <c r="P146" s="6" t="s">
        <v>71</v>
      </c>
      <c r="Q146" s="6" t="s">
        <v>72</v>
      </c>
      <c r="R146" s="6" t="s">
        <v>73</v>
      </c>
      <c r="S146" s="6" t="s">
        <v>881</v>
      </c>
      <c r="T146" s="6" t="s">
        <v>231</v>
      </c>
      <c r="U146" s="6" t="s">
        <v>75</v>
      </c>
      <c r="V146" s="6" t="s">
        <v>231</v>
      </c>
      <c r="W146" s="6" t="s">
        <v>882</v>
      </c>
      <c r="X146" s="6" t="s">
        <v>75</v>
      </c>
      <c r="Y146" s="6" t="s">
        <v>882</v>
      </c>
      <c r="Z146" s="6" t="s">
        <v>76</v>
      </c>
      <c r="AA146" s="6" t="s">
        <v>882</v>
      </c>
      <c r="AB146" s="6" t="s">
        <v>75</v>
      </c>
      <c r="AC146" s="6" t="s">
        <v>75</v>
      </c>
      <c r="AD146" s="6" t="s">
        <v>75</v>
      </c>
      <c r="AE146" s="6" t="s">
        <v>75</v>
      </c>
      <c r="AF146" s="6" t="s">
        <v>75</v>
      </c>
      <c r="AG146" s="6" t="s">
        <v>75</v>
      </c>
      <c r="AH146" s="6" t="s">
        <v>75</v>
      </c>
      <c r="AI146" s="6" t="s">
        <v>75</v>
      </c>
      <c r="AJ146" s="6" t="s">
        <v>75</v>
      </c>
      <c r="AK146" s="6" t="s">
        <v>75</v>
      </c>
      <c r="AL146" s="6" t="s">
        <v>75</v>
      </c>
      <c r="AM146" s="6" t="s">
        <v>75</v>
      </c>
      <c r="AN146" s="6" t="s">
        <v>75</v>
      </c>
      <c r="AO146" s="6" t="s">
        <v>75</v>
      </c>
      <c r="AP146" s="6" t="s">
        <v>75</v>
      </c>
      <c r="AQ146" s="6" t="s">
        <v>75</v>
      </c>
      <c r="AR146" s="6" t="s">
        <v>75</v>
      </c>
      <c r="AS146" s="6" t="s">
        <v>75</v>
      </c>
      <c r="AT146" s="6" t="s">
        <v>75</v>
      </c>
      <c r="AU146" s="6" t="s">
        <v>1191</v>
      </c>
      <c r="AV146" s="6" t="s">
        <v>1192</v>
      </c>
      <c r="AW146" s="6" t="s">
        <v>882</v>
      </c>
      <c r="AX146" s="6" t="s">
        <v>1142</v>
      </c>
      <c r="AY146" s="6" t="s">
        <v>126</v>
      </c>
      <c r="AZ146" s="6" t="s">
        <v>1142</v>
      </c>
      <c r="BA146" t="s">
        <v>1414</v>
      </c>
      <c r="BB146" s="13" t="str">
        <f t="shared" si="8"/>
        <v xml:space="preserve"> Tiruvannamalai</v>
      </c>
      <c r="BC146" s="6" t="s">
        <v>126</v>
      </c>
      <c r="BD146" s="6" t="s">
        <v>73</v>
      </c>
      <c r="BE146" s="6" t="s">
        <v>81</v>
      </c>
      <c r="BF146" s="6" t="s">
        <v>82</v>
      </c>
      <c r="BG146" s="6" t="s">
        <v>886</v>
      </c>
      <c r="BH146" s="6" t="s">
        <v>73</v>
      </c>
      <c r="BI146" s="6" t="s">
        <v>73</v>
      </c>
      <c r="BJ146" s="6" t="s">
        <v>73</v>
      </c>
      <c r="BK146" s="6" t="s">
        <v>1143</v>
      </c>
      <c r="BL146" s="6" t="s">
        <v>73</v>
      </c>
      <c r="BM146" s="12">
        <v>78</v>
      </c>
    </row>
    <row r="147" spans="1:65">
      <c r="A147" s="6" t="s">
        <v>60</v>
      </c>
      <c r="B147" s="6" t="s">
        <v>1180</v>
      </c>
      <c r="C147" s="6" t="s">
        <v>1181</v>
      </c>
      <c r="D147" s="6" t="s">
        <v>1182</v>
      </c>
      <c r="E147" s="6" t="s">
        <v>1183</v>
      </c>
      <c r="F147" s="6" t="s">
        <v>1184</v>
      </c>
      <c r="G147" t="str">
        <f t="shared" si="6"/>
        <v>THE-MAGIC05</v>
      </c>
      <c r="H147" s="6" t="s">
        <v>66</v>
      </c>
      <c r="I147" s="6" t="s">
        <v>138</v>
      </c>
      <c r="J147" s="6" t="s">
        <v>139</v>
      </c>
      <c r="K147" s="6" t="s">
        <v>140</v>
      </c>
      <c r="L147" s="6" t="s">
        <v>69</v>
      </c>
      <c r="M147" s="6" t="s">
        <v>1185</v>
      </c>
      <c r="N147" t="str">
        <f t="shared" si="7"/>
        <v>November</v>
      </c>
      <c r="O147" s="6" t="s">
        <v>1185</v>
      </c>
      <c r="P147" s="6" t="s">
        <v>71</v>
      </c>
      <c r="Q147" s="6" t="s">
        <v>72</v>
      </c>
      <c r="R147" s="6" t="s">
        <v>73</v>
      </c>
      <c r="S147" s="6" t="s">
        <v>614</v>
      </c>
      <c r="T147" s="6" t="s">
        <v>702</v>
      </c>
      <c r="U147" s="6" t="s">
        <v>702</v>
      </c>
      <c r="V147" s="6" t="s">
        <v>75</v>
      </c>
      <c r="W147" s="6" t="s">
        <v>1186</v>
      </c>
      <c r="X147" s="6" t="s">
        <v>75</v>
      </c>
      <c r="Y147" s="6" t="s">
        <v>1186</v>
      </c>
      <c r="Z147" s="6" t="s">
        <v>76</v>
      </c>
      <c r="AA147" s="6" t="s">
        <v>1193</v>
      </c>
      <c r="AB147" s="6" t="s">
        <v>75</v>
      </c>
      <c r="AC147" s="6" t="s">
        <v>75</v>
      </c>
      <c r="AD147" s="6" t="s">
        <v>75</v>
      </c>
      <c r="AE147" s="6" t="s">
        <v>75</v>
      </c>
      <c r="AF147" s="6" t="s">
        <v>75</v>
      </c>
      <c r="AG147" s="6" t="s">
        <v>75</v>
      </c>
      <c r="AH147" s="6" t="s">
        <v>75</v>
      </c>
      <c r="AI147" s="6" t="s">
        <v>75</v>
      </c>
      <c r="AJ147" s="6" t="s">
        <v>75</v>
      </c>
      <c r="AK147" s="6" t="s">
        <v>75</v>
      </c>
      <c r="AL147" s="6" t="s">
        <v>75</v>
      </c>
      <c r="AM147" s="6" t="s">
        <v>75</v>
      </c>
      <c r="AN147" s="6" t="s">
        <v>75</v>
      </c>
      <c r="AO147" s="6" t="s">
        <v>75</v>
      </c>
      <c r="AP147" s="6" t="s">
        <v>75</v>
      </c>
      <c r="AQ147" s="6" t="s">
        <v>75</v>
      </c>
      <c r="AR147" s="6" t="s">
        <v>75</v>
      </c>
      <c r="AS147" s="6" t="s">
        <v>75</v>
      </c>
      <c r="AT147" s="6" t="s">
        <v>75</v>
      </c>
      <c r="AU147" s="6" t="s">
        <v>1194</v>
      </c>
      <c r="AV147" s="6" t="s">
        <v>1195</v>
      </c>
      <c r="AW147" s="6" t="s">
        <v>1193</v>
      </c>
      <c r="AX147" s="6" t="s">
        <v>1188</v>
      </c>
      <c r="AY147" s="6" t="s">
        <v>147</v>
      </c>
      <c r="AZ147" s="6" t="s">
        <v>1188</v>
      </c>
      <c r="BA147" t="s">
        <v>1413</v>
      </c>
      <c r="BB147" s="13" t="str">
        <f t="shared" si="8"/>
        <v xml:space="preserve"> Guwahati</v>
      </c>
      <c r="BC147" s="6" t="s">
        <v>147</v>
      </c>
      <c r="BD147" s="6" t="s">
        <v>73</v>
      </c>
      <c r="BE147" s="6" t="s">
        <v>81</v>
      </c>
      <c r="BF147" s="6" t="s">
        <v>82</v>
      </c>
      <c r="BG147" s="6" t="s">
        <v>1189</v>
      </c>
      <c r="BH147" s="6" t="s">
        <v>73</v>
      </c>
      <c r="BI147" s="6" t="s">
        <v>73</v>
      </c>
      <c r="BJ147" s="6" t="s">
        <v>73</v>
      </c>
      <c r="BK147" s="6" t="s">
        <v>1190</v>
      </c>
      <c r="BL147" s="6" t="s">
        <v>73</v>
      </c>
      <c r="BM147" s="12">
        <v>85</v>
      </c>
    </row>
    <row r="148" spans="1:65">
      <c r="A148" s="6" t="s">
        <v>60</v>
      </c>
      <c r="B148" s="6" t="s">
        <v>1196</v>
      </c>
      <c r="C148" s="6" t="s">
        <v>1197</v>
      </c>
      <c r="D148" s="6" t="s">
        <v>525</v>
      </c>
      <c r="E148" s="6" t="s">
        <v>526</v>
      </c>
      <c r="F148" s="6" t="s">
        <v>527</v>
      </c>
      <c r="G148" t="str">
        <f t="shared" si="6"/>
        <v>WHO-WILL-CRY01</v>
      </c>
      <c r="H148" s="6" t="s">
        <v>66</v>
      </c>
      <c r="I148" s="6" t="s">
        <v>67</v>
      </c>
      <c r="J148" s="6" t="s">
        <v>67</v>
      </c>
      <c r="K148" s="6" t="s">
        <v>68</v>
      </c>
      <c r="L148" s="6" t="s">
        <v>69</v>
      </c>
      <c r="M148" s="6" t="s">
        <v>1198</v>
      </c>
      <c r="N148" t="str">
        <f t="shared" si="7"/>
        <v>November</v>
      </c>
      <c r="O148" s="6" t="s">
        <v>1198</v>
      </c>
      <c r="P148" s="6" t="s">
        <v>71</v>
      </c>
      <c r="Q148" s="6" t="s">
        <v>72</v>
      </c>
      <c r="R148" s="6" t="s">
        <v>73</v>
      </c>
      <c r="S148" s="6" t="s">
        <v>1199</v>
      </c>
      <c r="T148" s="6" t="s">
        <v>1200</v>
      </c>
      <c r="U148" s="6" t="s">
        <v>1200</v>
      </c>
      <c r="V148" s="6" t="s">
        <v>75</v>
      </c>
      <c r="W148" s="6" t="s">
        <v>1201</v>
      </c>
      <c r="X148" s="6" t="s">
        <v>75</v>
      </c>
      <c r="Y148" s="6" t="s">
        <v>1201</v>
      </c>
      <c r="Z148" s="6" t="s">
        <v>76</v>
      </c>
      <c r="AA148" s="6" t="s">
        <v>1201</v>
      </c>
      <c r="AB148" s="6" t="s">
        <v>75</v>
      </c>
      <c r="AC148" s="6" t="s">
        <v>75</v>
      </c>
      <c r="AD148" s="6" t="s">
        <v>75</v>
      </c>
      <c r="AE148" s="6" t="s">
        <v>75</v>
      </c>
      <c r="AF148" s="6" t="s">
        <v>75</v>
      </c>
      <c r="AG148" s="6" t="s">
        <v>75</v>
      </c>
      <c r="AH148" s="6" t="s">
        <v>75</v>
      </c>
      <c r="AI148" s="6" t="s">
        <v>75</v>
      </c>
      <c r="AJ148" s="6" t="s">
        <v>75</v>
      </c>
      <c r="AK148" s="6" t="s">
        <v>75</v>
      </c>
      <c r="AL148" s="6" t="s">
        <v>75</v>
      </c>
      <c r="AM148" s="6" t="s">
        <v>75</v>
      </c>
      <c r="AN148" s="6" t="s">
        <v>75</v>
      </c>
      <c r="AO148" s="6" t="s">
        <v>75</v>
      </c>
      <c r="AP148" s="6" t="s">
        <v>75</v>
      </c>
      <c r="AQ148" s="6" t="s">
        <v>75</v>
      </c>
      <c r="AR148" s="6" t="s">
        <v>75</v>
      </c>
      <c r="AS148" s="6" t="s">
        <v>75</v>
      </c>
      <c r="AT148" s="6" t="s">
        <v>75</v>
      </c>
      <c r="AU148" s="6" t="s">
        <v>1202</v>
      </c>
      <c r="AV148" s="6" t="s">
        <v>1203</v>
      </c>
      <c r="AW148" s="6" t="s">
        <v>1201</v>
      </c>
      <c r="AX148" s="6" t="s">
        <v>1204</v>
      </c>
      <c r="AY148" s="6" t="s">
        <v>94</v>
      </c>
      <c r="AZ148" s="6" t="s">
        <v>1204</v>
      </c>
      <c r="BA148" t="s">
        <v>1415</v>
      </c>
      <c r="BB148" s="13" t="str">
        <f t="shared" si="8"/>
        <v xml:space="preserve"> Bhubaneswar</v>
      </c>
      <c r="BC148" s="6" t="s">
        <v>94</v>
      </c>
      <c r="BD148" s="6" t="s">
        <v>73</v>
      </c>
      <c r="BE148" s="6" t="s">
        <v>81</v>
      </c>
      <c r="BF148" s="6" t="s">
        <v>82</v>
      </c>
      <c r="BG148" s="6" t="s">
        <v>1205</v>
      </c>
      <c r="BH148" s="6" t="s">
        <v>73</v>
      </c>
      <c r="BI148" s="6" t="s">
        <v>73</v>
      </c>
      <c r="BJ148" s="6" t="s">
        <v>73</v>
      </c>
      <c r="BK148" s="6" t="s">
        <v>1206</v>
      </c>
      <c r="BL148" s="6" t="s">
        <v>73</v>
      </c>
      <c r="BM148" s="12">
        <v>72</v>
      </c>
    </row>
    <row r="149" spans="1:65">
      <c r="A149" s="6" t="s">
        <v>60</v>
      </c>
      <c r="B149" s="6" t="s">
        <v>1124</v>
      </c>
      <c r="C149" s="6" t="s">
        <v>1125</v>
      </c>
      <c r="D149" s="6" t="s">
        <v>1114</v>
      </c>
      <c r="E149" s="6" t="s">
        <v>1115</v>
      </c>
      <c r="F149" s="6" t="s">
        <v>1116</v>
      </c>
      <c r="G149" t="str">
        <f t="shared" si="6"/>
        <v>PSYCH-01</v>
      </c>
      <c r="H149" s="6" t="s">
        <v>66</v>
      </c>
      <c r="I149" s="6" t="s">
        <v>138</v>
      </c>
      <c r="J149" s="6" t="s">
        <v>138</v>
      </c>
      <c r="K149" s="6" t="s">
        <v>140</v>
      </c>
      <c r="L149" s="6" t="s">
        <v>69</v>
      </c>
      <c r="M149" s="6" t="s">
        <v>1117</v>
      </c>
      <c r="N149" t="str">
        <f t="shared" si="7"/>
        <v>November</v>
      </c>
      <c r="O149" s="6" t="s">
        <v>1117</v>
      </c>
      <c r="P149" s="6" t="s">
        <v>71</v>
      </c>
      <c r="Q149" s="6" t="s">
        <v>72</v>
      </c>
      <c r="R149" s="6" t="s">
        <v>73</v>
      </c>
      <c r="S149" s="6" t="s">
        <v>772</v>
      </c>
      <c r="T149" s="6" t="s">
        <v>231</v>
      </c>
      <c r="U149" s="6" t="s">
        <v>75</v>
      </c>
      <c r="V149" s="6" t="s">
        <v>231</v>
      </c>
      <c r="W149" s="6" t="s">
        <v>1118</v>
      </c>
      <c r="X149" s="6" t="s">
        <v>75</v>
      </c>
      <c r="Y149" s="6" t="s">
        <v>1118</v>
      </c>
      <c r="Z149" s="6" t="s">
        <v>76</v>
      </c>
      <c r="AA149" s="6" t="s">
        <v>1207</v>
      </c>
      <c r="AB149" s="6" t="s">
        <v>75</v>
      </c>
      <c r="AC149" s="6" t="s">
        <v>75</v>
      </c>
      <c r="AD149" s="6" t="s">
        <v>75</v>
      </c>
      <c r="AE149" s="6" t="s">
        <v>75</v>
      </c>
      <c r="AF149" s="6" t="s">
        <v>75</v>
      </c>
      <c r="AG149" s="6" t="s">
        <v>75</v>
      </c>
      <c r="AH149" s="6" t="s">
        <v>75</v>
      </c>
      <c r="AI149" s="6" t="s">
        <v>75</v>
      </c>
      <c r="AJ149" s="6" t="s">
        <v>75</v>
      </c>
      <c r="AK149" s="6" t="s">
        <v>75</v>
      </c>
      <c r="AL149" s="6" t="s">
        <v>75</v>
      </c>
      <c r="AM149" s="6" t="s">
        <v>75</v>
      </c>
      <c r="AN149" s="6" t="s">
        <v>75</v>
      </c>
      <c r="AO149" s="6" t="s">
        <v>75</v>
      </c>
      <c r="AP149" s="6" t="s">
        <v>75</v>
      </c>
      <c r="AQ149" s="6" t="s">
        <v>75</v>
      </c>
      <c r="AR149" s="6" t="s">
        <v>75</v>
      </c>
      <c r="AS149" s="6" t="s">
        <v>75</v>
      </c>
      <c r="AT149" s="6" t="s">
        <v>75</v>
      </c>
      <c r="AU149" s="6" t="s">
        <v>1208</v>
      </c>
      <c r="AV149" s="6" t="s">
        <v>1209</v>
      </c>
      <c r="AW149" s="6" t="s">
        <v>1207</v>
      </c>
      <c r="AX149" s="6" t="s">
        <v>1127</v>
      </c>
      <c r="AY149" s="6" t="s">
        <v>117</v>
      </c>
      <c r="AZ149" s="6" t="s">
        <v>1127</v>
      </c>
      <c r="BA149" t="s">
        <v>1416</v>
      </c>
      <c r="BB149" s="13" t="str">
        <f t="shared" si="8"/>
        <v xml:space="preserve"> Akola</v>
      </c>
      <c r="BC149" s="6" t="s">
        <v>117</v>
      </c>
      <c r="BD149" s="6" t="s">
        <v>73</v>
      </c>
      <c r="BE149" s="6" t="s">
        <v>81</v>
      </c>
      <c r="BF149" s="6" t="s">
        <v>82</v>
      </c>
      <c r="BG149" s="6" t="s">
        <v>1122</v>
      </c>
      <c r="BH149" s="6" t="s">
        <v>73</v>
      </c>
      <c r="BI149" s="6" t="s">
        <v>73</v>
      </c>
      <c r="BJ149" s="6" t="s">
        <v>73</v>
      </c>
      <c r="BK149" s="6" t="s">
        <v>1128</v>
      </c>
      <c r="BL149" s="6" t="s">
        <v>73</v>
      </c>
      <c r="BM149" s="12">
        <v>90</v>
      </c>
    </row>
    <row r="150" spans="1:65">
      <c r="A150" s="6" t="s">
        <v>60</v>
      </c>
      <c r="B150" s="6" t="s">
        <v>1210</v>
      </c>
      <c r="C150" s="6" t="s">
        <v>1211</v>
      </c>
      <c r="D150" s="6" t="s">
        <v>1170</v>
      </c>
      <c r="E150" s="6" t="s">
        <v>1171</v>
      </c>
      <c r="F150" s="6" t="s">
        <v>1172</v>
      </c>
      <c r="G150" t="str">
        <f t="shared" si="6"/>
        <v>ELON-MUSK01</v>
      </c>
      <c r="H150" s="6" t="s">
        <v>66</v>
      </c>
      <c r="I150" s="6" t="s">
        <v>67</v>
      </c>
      <c r="J150" s="6" t="s">
        <v>67</v>
      </c>
      <c r="K150" s="6" t="s">
        <v>68</v>
      </c>
      <c r="L150" s="6" t="s">
        <v>69</v>
      </c>
      <c r="M150" s="6" t="s">
        <v>1140</v>
      </c>
      <c r="N150" t="str">
        <f t="shared" si="7"/>
        <v>November</v>
      </c>
      <c r="O150" s="6" t="s">
        <v>1140</v>
      </c>
      <c r="P150" s="6" t="s">
        <v>71</v>
      </c>
      <c r="Q150" s="6" t="s">
        <v>72</v>
      </c>
      <c r="R150" s="6" t="s">
        <v>73</v>
      </c>
      <c r="S150" s="6" t="s">
        <v>221</v>
      </c>
      <c r="T150" s="6" t="s">
        <v>1212</v>
      </c>
      <c r="U150" s="6" t="s">
        <v>75</v>
      </c>
      <c r="V150" s="6" t="s">
        <v>1212</v>
      </c>
      <c r="W150" s="6" t="s">
        <v>1213</v>
      </c>
      <c r="X150" s="6" t="s">
        <v>75</v>
      </c>
      <c r="Y150" s="6" t="s">
        <v>1213</v>
      </c>
      <c r="Z150" s="6" t="s">
        <v>76</v>
      </c>
      <c r="AA150" s="6" t="s">
        <v>1213</v>
      </c>
      <c r="AB150" s="6" t="s">
        <v>75</v>
      </c>
      <c r="AC150" s="6" t="s">
        <v>75</v>
      </c>
      <c r="AD150" s="6" t="s">
        <v>75</v>
      </c>
      <c r="AE150" s="6" t="s">
        <v>75</v>
      </c>
      <c r="AF150" s="6" t="s">
        <v>75</v>
      </c>
      <c r="AG150" s="6" t="s">
        <v>75</v>
      </c>
      <c r="AH150" s="6" t="s">
        <v>75</v>
      </c>
      <c r="AI150" s="6" t="s">
        <v>75</v>
      </c>
      <c r="AJ150" s="6" t="s">
        <v>75</v>
      </c>
      <c r="AK150" s="6" t="s">
        <v>75</v>
      </c>
      <c r="AL150" s="6" t="s">
        <v>75</v>
      </c>
      <c r="AM150" s="6" t="s">
        <v>75</v>
      </c>
      <c r="AN150" s="6" t="s">
        <v>75</v>
      </c>
      <c r="AO150" s="6" t="s">
        <v>75</v>
      </c>
      <c r="AP150" s="6" t="s">
        <v>75</v>
      </c>
      <c r="AQ150" s="6" t="s">
        <v>75</v>
      </c>
      <c r="AR150" s="6" t="s">
        <v>75</v>
      </c>
      <c r="AS150" s="6" t="s">
        <v>75</v>
      </c>
      <c r="AT150" s="6" t="s">
        <v>75</v>
      </c>
      <c r="AU150" s="6" t="s">
        <v>1214</v>
      </c>
      <c r="AV150" s="6" t="s">
        <v>1192</v>
      </c>
      <c r="AW150" s="6" t="s">
        <v>1213</v>
      </c>
      <c r="AX150" s="6" t="s">
        <v>1175</v>
      </c>
      <c r="AY150" s="6" t="s">
        <v>117</v>
      </c>
      <c r="AZ150" s="6" t="s">
        <v>1175</v>
      </c>
      <c r="BA150" t="s">
        <v>1412</v>
      </c>
      <c r="BB150" s="13" t="str">
        <f t="shared" si="8"/>
        <v xml:space="preserve"> Jalgaon</v>
      </c>
      <c r="BC150" s="6" t="s">
        <v>117</v>
      </c>
      <c r="BD150" s="6" t="s">
        <v>73</v>
      </c>
      <c r="BE150" s="6" t="s">
        <v>81</v>
      </c>
      <c r="BF150" s="6" t="s">
        <v>82</v>
      </c>
      <c r="BG150" s="6" t="s">
        <v>1215</v>
      </c>
      <c r="BH150" s="6" t="s">
        <v>73</v>
      </c>
      <c r="BI150" s="6" t="s">
        <v>73</v>
      </c>
      <c r="BJ150" s="6" t="s">
        <v>73</v>
      </c>
      <c r="BK150" s="6" t="s">
        <v>1177</v>
      </c>
      <c r="BL150" s="6" t="s">
        <v>73</v>
      </c>
      <c r="BM150" s="12">
        <v>76</v>
      </c>
    </row>
    <row r="151" spans="1:65">
      <c r="A151" s="6" t="s">
        <v>60</v>
      </c>
      <c r="B151" s="6" t="s">
        <v>1216</v>
      </c>
      <c r="C151" s="6" t="s">
        <v>1217</v>
      </c>
      <c r="D151" s="6" t="s">
        <v>1170</v>
      </c>
      <c r="E151" s="6" t="s">
        <v>1171</v>
      </c>
      <c r="F151" s="6" t="s">
        <v>1172</v>
      </c>
      <c r="G151" t="str">
        <f t="shared" si="6"/>
        <v>ELON-MUSK01</v>
      </c>
      <c r="H151" s="6" t="s">
        <v>66</v>
      </c>
      <c r="I151" s="6" t="s">
        <v>67</v>
      </c>
      <c r="J151" s="6" t="s">
        <v>67</v>
      </c>
      <c r="K151" s="6" t="s">
        <v>140</v>
      </c>
      <c r="L151" s="6" t="s">
        <v>69</v>
      </c>
      <c r="M151" s="6" t="s">
        <v>1218</v>
      </c>
      <c r="N151" t="str">
        <f t="shared" si="7"/>
        <v>November</v>
      </c>
      <c r="O151" s="6" t="s">
        <v>1218</v>
      </c>
      <c r="P151" s="6" t="s">
        <v>71</v>
      </c>
      <c r="Q151" s="6" t="s">
        <v>72</v>
      </c>
      <c r="R151" s="6" t="s">
        <v>73</v>
      </c>
      <c r="S151" s="6" t="s">
        <v>221</v>
      </c>
      <c r="T151" s="6" t="s">
        <v>1219</v>
      </c>
      <c r="U151" s="6" t="s">
        <v>75</v>
      </c>
      <c r="V151" s="6" t="s">
        <v>1219</v>
      </c>
      <c r="W151" s="6" t="s">
        <v>1220</v>
      </c>
      <c r="X151" s="6" t="s">
        <v>75</v>
      </c>
      <c r="Y151" s="6" t="s">
        <v>1220</v>
      </c>
      <c r="Z151" s="6" t="s">
        <v>76</v>
      </c>
      <c r="AA151" s="6" t="s">
        <v>1220</v>
      </c>
      <c r="AB151" s="6" t="s">
        <v>75</v>
      </c>
      <c r="AC151" s="6" t="s">
        <v>75</v>
      </c>
      <c r="AD151" s="6" t="s">
        <v>75</v>
      </c>
      <c r="AE151" s="6" t="s">
        <v>75</v>
      </c>
      <c r="AF151" s="6" t="s">
        <v>75</v>
      </c>
      <c r="AG151" s="6" t="s">
        <v>75</v>
      </c>
      <c r="AH151" s="6" t="s">
        <v>75</v>
      </c>
      <c r="AI151" s="6" t="s">
        <v>75</v>
      </c>
      <c r="AJ151" s="6" t="s">
        <v>75</v>
      </c>
      <c r="AK151" s="6" t="s">
        <v>75</v>
      </c>
      <c r="AL151" s="6" t="s">
        <v>75</v>
      </c>
      <c r="AM151" s="6" t="s">
        <v>75</v>
      </c>
      <c r="AN151" s="6" t="s">
        <v>75</v>
      </c>
      <c r="AO151" s="6" t="s">
        <v>75</v>
      </c>
      <c r="AP151" s="6" t="s">
        <v>75</v>
      </c>
      <c r="AQ151" s="6" t="s">
        <v>75</v>
      </c>
      <c r="AR151" s="6" t="s">
        <v>75</v>
      </c>
      <c r="AS151" s="6" t="s">
        <v>75</v>
      </c>
      <c r="AT151" s="6" t="s">
        <v>75</v>
      </c>
      <c r="AU151" s="6" t="s">
        <v>1221</v>
      </c>
      <c r="AV151" s="6" t="s">
        <v>1222</v>
      </c>
      <c r="AW151" s="6" t="s">
        <v>1220</v>
      </c>
      <c r="AX151" s="6" t="s">
        <v>1223</v>
      </c>
      <c r="AY151" s="6" t="s">
        <v>126</v>
      </c>
      <c r="AZ151" s="6" t="s">
        <v>1223</v>
      </c>
      <c r="BA151" s="7" t="s">
        <v>1397</v>
      </c>
      <c r="BB151" s="13" t="str">
        <f t="shared" si="8"/>
        <v xml:space="preserve"> Coimbatore</v>
      </c>
      <c r="BC151" s="6" t="s">
        <v>126</v>
      </c>
      <c r="BD151" s="6" t="s">
        <v>73</v>
      </c>
      <c r="BE151" s="6" t="s">
        <v>81</v>
      </c>
      <c r="BF151" s="6" t="s">
        <v>82</v>
      </c>
      <c r="BG151" s="6" t="s">
        <v>1224</v>
      </c>
      <c r="BH151" s="6" t="s">
        <v>73</v>
      </c>
      <c r="BI151" s="6" t="s">
        <v>73</v>
      </c>
      <c r="BJ151" s="6" t="s">
        <v>73</v>
      </c>
      <c r="BK151" s="6" t="s">
        <v>1225</v>
      </c>
      <c r="BL151" s="6" t="s">
        <v>73</v>
      </c>
      <c r="BM151" s="12">
        <v>81</v>
      </c>
    </row>
    <row r="152" spans="1:65">
      <c r="A152" s="6" t="s">
        <v>60</v>
      </c>
      <c r="B152" s="6" t="s">
        <v>1226</v>
      </c>
      <c r="C152" s="6" t="s">
        <v>1227</v>
      </c>
      <c r="D152" s="6" t="s">
        <v>525</v>
      </c>
      <c r="E152" s="6" t="s">
        <v>526</v>
      </c>
      <c r="F152" s="6" t="s">
        <v>527</v>
      </c>
      <c r="G152" t="str">
        <f t="shared" si="6"/>
        <v>WHO-WILL-CRY01</v>
      </c>
      <c r="H152" s="6" t="s">
        <v>66</v>
      </c>
      <c r="I152" s="6" t="s">
        <v>67</v>
      </c>
      <c r="J152" s="6" t="s">
        <v>67</v>
      </c>
      <c r="K152" s="6" t="s">
        <v>68</v>
      </c>
      <c r="L152" s="6" t="s">
        <v>69</v>
      </c>
      <c r="M152" s="6" t="s">
        <v>1218</v>
      </c>
      <c r="N152" t="str">
        <f t="shared" si="7"/>
        <v>November</v>
      </c>
      <c r="O152" s="6" t="s">
        <v>1218</v>
      </c>
      <c r="P152" s="6" t="s">
        <v>71</v>
      </c>
      <c r="Q152" s="6" t="s">
        <v>72</v>
      </c>
      <c r="R152" s="6" t="s">
        <v>73</v>
      </c>
      <c r="S152" s="6" t="s">
        <v>281</v>
      </c>
      <c r="T152" s="6" t="s">
        <v>1163</v>
      </c>
      <c r="U152" s="6" t="s">
        <v>75</v>
      </c>
      <c r="V152" s="6" t="s">
        <v>1163</v>
      </c>
      <c r="W152" s="6" t="s">
        <v>943</v>
      </c>
      <c r="X152" s="6" t="s">
        <v>75</v>
      </c>
      <c r="Y152" s="6" t="s">
        <v>943</v>
      </c>
      <c r="Z152" s="6" t="s">
        <v>76</v>
      </c>
      <c r="AA152" s="6" t="s">
        <v>943</v>
      </c>
      <c r="AB152" s="6" t="s">
        <v>75</v>
      </c>
      <c r="AC152" s="6" t="s">
        <v>75</v>
      </c>
      <c r="AD152" s="6" t="s">
        <v>75</v>
      </c>
      <c r="AE152" s="6" t="s">
        <v>75</v>
      </c>
      <c r="AF152" s="6" t="s">
        <v>75</v>
      </c>
      <c r="AG152" s="6" t="s">
        <v>75</v>
      </c>
      <c r="AH152" s="6" t="s">
        <v>75</v>
      </c>
      <c r="AI152" s="6" t="s">
        <v>75</v>
      </c>
      <c r="AJ152" s="6" t="s">
        <v>75</v>
      </c>
      <c r="AK152" s="6" t="s">
        <v>75</v>
      </c>
      <c r="AL152" s="6" t="s">
        <v>75</v>
      </c>
      <c r="AM152" s="6" t="s">
        <v>75</v>
      </c>
      <c r="AN152" s="6" t="s">
        <v>75</v>
      </c>
      <c r="AO152" s="6" t="s">
        <v>75</v>
      </c>
      <c r="AP152" s="6" t="s">
        <v>75</v>
      </c>
      <c r="AQ152" s="6" t="s">
        <v>75</v>
      </c>
      <c r="AR152" s="6" t="s">
        <v>75</v>
      </c>
      <c r="AS152" s="6" t="s">
        <v>75</v>
      </c>
      <c r="AT152" s="6" t="s">
        <v>75</v>
      </c>
      <c r="AU152" s="6" t="s">
        <v>1228</v>
      </c>
      <c r="AV152" s="6" t="s">
        <v>1222</v>
      </c>
      <c r="AW152" s="6" t="s">
        <v>943</v>
      </c>
      <c r="AX152" s="6" t="s">
        <v>1229</v>
      </c>
      <c r="AY152" s="6" t="s">
        <v>124</v>
      </c>
      <c r="AZ152" s="6" t="s">
        <v>1229</v>
      </c>
      <c r="BA152" s="7" t="s">
        <v>1398</v>
      </c>
      <c r="BB152" s="13" t="str">
        <f t="shared" si="8"/>
        <v xml:space="preserve"> Jamnagar</v>
      </c>
      <c r="BC152" s="6" t="s">
        <v>124</v>
      </c>
      <c r="BD152" s="6" t="s">
        <v>73</v>
      </c>
      <c r="BE152" s="6" t="s">
        <v>81</v>
      </c>
      <c r="BF152" s="6" t="s">
        <v>82</v>
      </c>
      <c r="BG152" s="6" t="s">
        <v>946</v>
      </c>
      <c r="BH152" s="6" t="s">
        <v>73</v>
      </c>
      <c r="BI152" s="6" t="s">
        <v>73</v>
      </c>
      <c r="BJ152" s="6" t="s">
        <v>73</v>
      </c>
      <c r="BK152" s="6" t="s">
        <v>1230</v>
      </c>
      <c r="BL152" s="6" t="s">
        <v>73</v>
      </c>
      <c r="BM152" s="12">
        <v>79</v>
      </c>
    </row>
    <row r="153" spans="1:65">
      <c r="A153" s="7" t="s">
        <v>60</v>
      </c>
      <c r="B153" s="7" t="s">
        <v>1231</v>
      </c>
      <c r="C153" s="7" t="s">
        <v>1232</v>
      </c>
      <c r="D153" s="7" t="s">
        <v>508</v>
      </c>
      <c r="E153" s="7" t="s">
        <v>509</v>
      </c>
      <c r="F153" s="7" t="s">
        <v>510</v>
      </c>
      <c r="G153" t="str">
        <f t="shared" si="6"/>
        <v>WHO-WILL-CRY03</v>
      </c>
      <c r="H153" s="7" t="s">
        <v>66</v>
      </c>
      <c r="I153" s="7" t="s">
        <v>138</v>
      </c>
      <c r="J153" s="7" t="s">
        <v>139</v>
      </c>
      <c r="K153" s="7" t="s">
        <v>68</v>
      </c>
      <c r="L153" s="7" t="s">
        <v>69</v>
      </c>
      <c r="M153" s="7" t="s">
        <v>1233</v>
      </c>
      <c r="N153" t="str">
        <f t="shared" si="7"/>
        <v>December</v>
      </c>
      <c r="O153" s="7" t="s">
        <v>1233</v>
      </c>
      <c r="P153" s="7" t="s">
        <v>71</v>
      </c>
      <c r="Q153" s="7" t="s">
        <v>72</v>
      </c>
      <c r="R153" s="7" t="s">
        <v>73</v>
      </c>
      <c r="S153" s="7" t="s">
        <v>1199</v>
      </c>
      <c r="T153" s="7" t="s">
        <v>1200</v>
      </c>
      <c r="U153" s="7" t="s">
        <v>1200</v>
      </c>
      <c r="V153" s="7" t="s">
        <v>75</v>
      </c>
      <c r="W153" s="7" t="s">
        <v>1201</v>
      </c>
      <c r="X153" s="7" t="s">
        <v>75</v>
      </c>
      <c r="Y153" s="7" t="s">
        <v>1201</v>
      </c>
      <c r="Z153" s="7" t="s">
        <v>76</v>
      </c>
      <c r="AA153" s="7" t="s">
        <v>1234</v>
      </c>
      <c r="AB153" s="7" t="s">
        <v>75</v>
      </c>
      <c r="AC153" s="7" t="s">
        <v>75</v>
      </c>
      <c r="AD153" s="7" t="s">
        <v>75</v>
      </c>
      <c r="AE153" s="7" t="s">
        <v>75</v>
      </c>
      <c r="AF153" s="7" t="s">
        <v>75</v>
      </c>
      <c r="AG153" s="7" t="s">
        <v>75</v>
      </c>
      <c r="AH153" s="7" t="s">
        <v>75</v>
      </c>
      <c r="AI153" s="7" t="s">
        <v>75</v>
      </c>
      <c r="AJ153" s="7" t="s">
        <v>75</v>
      </c>
      <c r="AK153" s="7" t="s">
        <v>75</v>
      </c>
      <c r="AL153" s="7" t="s">
        <v>75</v>
      </c>
      <c r="AM153" s="7" t="s">
        <v>75</v>
      </c>
      <c r="AN153" s="7" t="s">
        <v>75</v>
      </c>
      <c r="AO153" s="7" t="s">
        <v>75</v>
      </c>
      <c r="AP153" s="7" t="s">
        <v>75</v>
      </c>
      <c r="AQ153" s="7" t="s">
        <v>75</v>
      </c>
      <c r="AR153" s="7" t="s">
        <v>75</v>
      </c>
      <c r="AS153" s="7" t="s">
        <v>75</v>
      </c>
      <c r="AT153" s="7" t="s">
        <v>75</v>
      </c>
      <c r="AU153" s="7" t="s">
        <v>1235</v>
      </c>
      <c r="AV153" s="7" t="s">
        <v>1236</v>
      </c>
      <c r="AW153" s="7" t="s">
        <v>1234</v>
      </c>
      <c r="AX153" s="7" t="s">
        <v>1237</v>
      </c>
      <c r="AY153" s="7" t="s">
        <v>126</v>
      </c>
      <c r="AZ153" s="7" t="s">
        <v>1237</v>
      </c>
      <c r="BA153" s="11" t="s">
        <v>1405</v>
      </c>
      <c r="BB153" s="13" t="str">
        <f t="shared" si="8"/>
        <v xml:space="preserve"> Chennai</v>
      </c>
      <c r="BC153" s="7" t="s">
        <v>126</v>
      </c>
      <c r="BD153" s="7" t="s">
        <v>73</v>
      </c>
      <c r="BE153" s="7" t="s">
        <v>81</v>
      </c>
      <c r="BF153" s="7" t="s">
        <v>82</v>
      </c>
      <c r="BG153" s="7" t="s">
        <v>1205</v>
      </c>
      <c r="BH153" s="7" t="s">
        <v>73</v>
      </c>
      <c r="BI153" s="7" t="s">
        <v>73</v>
      </c>
      <c r="BJ153" s="7" t="s">
        <v>73</v>
      </c>
      <c r="BK153" s="7" t="s">
        <v>1238</v>
      </c>
      <c r="BL153" s="7" t="s">
        <v>73</v>
      </c>
      <c r="BM153" s="12">
        <v>88</v>
      </c>
    </row>
    <row r="154" spans="1:65">
      <c r="A154" s="7" t="s">
        <v>60</v>
      </c>
      <c r="B154" s="7" t="s">
        <v>1239</v>
      </c>
      <c r="C154" s="7" t="s">
        <v>1240</v>
      </c>
      <c r="D154" s="7" t="s">
        <v>732</v>
      </c>
      <c r="E154" s="7" t="s">
        <v>733</v>
      </c>
      <c r="F154" s="7" t="s">
        <v>734</v>
      </c>
      <c r="G154" t="str">
        <f t="shared" si="6"/>
        <v>DOMORE-4</v>
      </c>
      <c r="H154" s="7" t="s">
        <v>66</v>
      </c>
      <c r="I154" s="7" t="s">
        <v>67</v>
      </c>
      <c r="J154" s="7" t="s">
        <v>67</v>
      </c>
      <c r="K154" s="7" t="s">
        <v>68</v>
      </c>
      <c r="L154" s="7" t="s">
        <v>69</v>
      </c>
      <c r="M154" s="7" t="s">
        <v>1241</v>
      </c>
      <c r="N154" t="str">
        <f t="shared" si="7"/>
        <v>December</v>
      </c>
      <c r="O154" s="7" t="s">
        <v>1241</v>
      </c>
      <c r="P154" s="7" t="s">
        <v>71</v>
      </c>
      <c r="Q154" s="7" t="s">
        <v>72</v>
      </c>
      <c r="R154" s="7" t="s">
        <v>73</v>
      </c>
      <c r="S154" s="7" t="s">
        <v>1201</v>
      </c>
      <c r="T154" s="7" t="s">
        <v>1200</v>
      </c>
      <c r="U154" s="7" t="s">
        <v>1200</v>
      </c>
      <c r="V154" s="7" t="s">
        <v>75</v>
      </c>
      <c r="W154" s="7" t="s">
        <v>1242</v>
      </c>
      <c r="X154" s="7" t="s">
        <v>75</v>
      </c>
      <c r="Y154" s="7" t="s">
        <v>1242</v>
      </c>
      <c r="Z154" s="7" t="s">
        <v>76</v>
      </c>
      <c r="AA154" s="7" t="s">
        <v>1242</v>
      </c>
      <c r="AB154" s="7" t="s">
        <v>75</v>
      </c>
      <c r="AC154" s="7" t="s">
        <v>75</v>
      </c>
      <c r="AD154" s="7" t="s">
        <v>75</v>
      </c>
      <c r="AE154" s="7" t="s">
        <v>75</v>
      </c>
      <c r="AF154" s="7" t="s">
        <v>75</v>
      </c>
      <c r="AG154" s="7" t="s">
        <v>75</v>
      </c>
      <c r="AH154" s="7" t="s">
        <v>75</v>
      </c>
      <c r="AI154" s="7" t="s">
        <v>75</v>
      </c>
      <c r="AJ154" s="7" t="s">
        <v>75</v>
      </c>
      <c r="AK154" s="7" t="s">
        <v>75</v>
      </c>
      <c r="AL154" s="7" t="s">
        <v>75</v>
      </c>
      <c r="AM154" s="7" t="s">
        <v>75</v>
      </c>
      <c r="AN154" s="7" t="s">
        <v>75</v>
      </c>
      <c r="AO154" s="7" t="s">
        <v>75</v>
      </c>
      <c r="AP154" s="7" t="s">
        <v>75</v>
      </c>
      <c r="AQ154" s="7" t="s">
        <v>75</v>
      </c>
      <c r="AR154" s="7" t="s">
        <v>75</v>
      </c>
      <c r="AS154" s="7" t="s">
        <v>75</v>
      </c>
      <c r="AT154" s="7" t="s">
        <v>75</v>
      </c>
      <c r="AU154" s="7" t="s">
        <v>1243</v>
      </c>
      <c r="AV154" s="7" t="s">
        <v>1236</v>
      </c>
      <c r="AW154" s="7" t="s">
        <v>1242</v>
      </c>
      <c r="AX154" s="7" t="s">
        <v>1244</v>
      </c>
      <c r="AY154" s="7" t="s">
        <v>1245</v>
      </c>
      <c r="AZ154" s="7" t="s">
        <v>1244</v>
      </c>
      <c r="BA154" s="7" t="s">
        <v>1399</v>
      </c>
      <c r="BB154" s="13" t="str">
        <f t="shared" si="8"/>
        <v xml:space="preserve"> Aizawl</v>
      </c>
      <c r="BC154" s="7" t="s">
        <v>1245</v>
      </c>
      <c r="BD154" s="7" t="s">
        <v>73</v>
      </c>
      <c r="BE154" s="7" t="s">
        <v>81</v>
      </c>
      <c r="BF154" s="7" t="s">
        <v>82</v>
      </c>
      <c r="BG154" s="7" t="s">
        <v>1246</v>
      </c>
      <c r="BH154" s="7" t="s">
        <v>73</v>
      </c>
      <c r="BI154" s="7" t="s">
        <v>73</v>
      </c>
      <c r="BJ154" s="7" t="s">
        <v>73</v>
      </c>
      <c r="BK154" s="7" t="s">
        <v>1247</v>
      </c>
      <c r="BL154" s="7" t="s">
        <v>73</v>
      </c>
      <c r="BM154" s="12">
        <v>75</v>
      </c>
    </row>
    <row r="155" spans="1:65">
      <c r="A155" s="7" t="s">
        <v>60</v>
      </c>
      <c r="B155" s="7" t="s">
        <v>1231</v>
      </c>
      <c r="C155" s="7" t="s">
        <v>1232</v>
      </c>
      <c r="D155" s="7" t="s">
        <v>508</v>
      </c>
      <c r="E155" s="7" t="s">
        <v>509</v>
      </c>
      <c r="F155" s="7" t="s">
        <v>510</v>
      </c>
      <c r="G155" t="str">
        <f t="shared" si="6"/>
        <v>WHO-WILL-CRY03</v>
      </c>
      <c r="H155" s="7" t="s">
        <v>66</v>
      </c>
      <c r="I155" s="7" t="s">
        <v>67</v>
      </c>
      <c r="J155" s="7" t="s">
        <v>67</v>
      </c>
      <c r="K155" s="7" t="s">
        <v>68</v>
      </c>
      <c r="L155" s="7" t="s">
        <v>69</v>
      </c>
      <c r="M155" s="7" t="s">
        <v>1233</v>
      </c>
      <c r="N155" t="str">
        <f t="shared" si="7"/>
        <v>December</v>
      </c>
      <c r="O155" s="7" t="s">
        <v>1233</v>
      </c>
      <c r="P155" s="7" t="s">
        <v>71</v>
      </c>
      <c r="Q155" s="7" t="s">
        <v>72</v>
      </c>
      <c r="R155" s="7" t="s">
        <v>73</v>
      </c>
      <c r="S155" s="7" t="s">
        <v>1199</v>
      </c>
      <c r="T155" s="7" t="s">
        <v>1200</v>
      </c>
      <c r="U155" s="7" t="s">
        <v>1200</v>
      </c>
      <c r="V155" s="7" t="s">
        <v>75</v>
      </c>
      <c r="W155" s="7" t="s">
        <v>1201</v>
      </c>
      <c r="X155" s="7" t="s">
        <v>75</v>
      </c>
      <c r="Y155" s="7" t="s">
        <v>1201</v>
      </c>
      <c r="Z155" s="7" t="s">
        <v>76</v>
      </c>
      <c r="AA155" s="7" t="s">
        <v>1201</v>
      </c>
      <c r="AB155" s="7" t="s">
        <v>75</v>
      </c>
      <c r="AC155" s="7" t="s">
        <v>75</v>
      </c>
      <c r="AD155" s="7" t="s">
        <v>75</v>
      </c>
      <c r="AE155" s="7" t="s">
        <v>75</v>
      </c>
      <c r="AF155" s="7" t="s">
        <v>75</v>
      </c>
      <c r="AG155" s="7" t="s">
        <v>75</v>
      </c>
      <c r="AH155" s="7" t="s">
        <v>75</v>
      </c>
      <c r="AI155" s="7" t="s">
        <v>75</v>
      </c>
      <c r="AJ155" s="7" t="s">
        <v>75</v>
      </c>
      <c r="AK155" s="7" t="s">
        <v>75</v>
      </c>
      <c r="AL155" s="7" t="s">
        <v>75</v>
      </c>
      <c r="AM155" s="7" t="s">
        <v>75</v>
      </c>
      <c r="AN155" s="7" t="s">
        <v>75</v>
      </c>
      <c r="AO155" s="7" t="s">
        <v>75</v>
      </c>
      <c r="AP155" s="7" t="s">
        <v>75</v>
      </c>
      <c r="AQ155" s="7" t="s">
        <v>75</v>
      </c>
      <c r="AR155" s="7" t="s">
        <v>75</v>
      </c>
      <c r="AS155" s="7" t="s">
        <v>75</v>
      </c>
      <c r="AT155" s="7" t="s">
        <v>75</v>
      </c>
      <c r="AU155" s="7" t="s">
        <v>1248</v>
      </c>
      <c r="AV155" s="7" t="s">
        <v>1249</v>
      </c>
      <c r="AW155" s="7" t="s">
        <v>1201</v>
      </c>
      <c r="AX155" s="7" t="s">
        <v>1237</v>
      </c>
      <c r="AY155" s="7" t="s">
        <v>126</v>
      </c>
      <c r="AZ155" s="7">
        <v>600056</v>
      </c>
      <c r="BA155" t="s">
        <v>1405</v>
      </c>
      <c r="BB155" s="13" t="str">
        <f t="shared" si="8"/>
        <v xml:space="preserve"> Chennai</v>
      </c>
      <c r="BC155" s="7" t="s">
        <v>126</v>
      </c>
      <c r="BD155" s="7" t="s">
        <v>73</v>
      </c>
      <c r="BE155" s="7" t="s">
        <v>81</v>
      </c>
      <c r="BF155" s="7" t="s">
        <v>82</v>
      </c>
      <c r="BG155" s="7" t="s">
        <v>1205</v>
      </c>
      <c r="BH155" s="7" t="s">
        <v>73</v>
      </c>
      <c r="BI155" s="7" t="s">
        <v>73</v>
      </c>
      <c r="BJ155" s="7" t="s">
        <v>73</v>
      </c>
      <c r="BK155" s="7" t="s">
        <v>1238</v>
      </c>
      <c r="BL155" s="7" t="s">
        <v>73</v>
      </c>
      <c r="BM155" s="12">
        <v>83</v>
      </c>
    </row>
    <row r="156" spans="1:65">
      <c r="A156" s="7" t="s">
        <v>60</v>
      </c>
      <c r="B156" s="7" t="s">
        <v>1239</v>
      </c>
      <c r="C156" s="7" t="s">
        <v>1240</v>
      </c>
      <c r="D156" s="7" t="s">
        <v>732</v>
      </c>
      <c r="E156" s="7" t="s">
        <v>733</v>
      </c>
      <c r="F156" s="7" t="s">
        <v>734</v>
      </c>
      <c r="G156" t="str">
        <f t="shared" si="6"/>
        <v>DOMORE-4</v>
      </c>
      <c r="H156" s="7" t="s">
        <v>66</v>
      </c>
      <c r="I156" s="7" t="s">
        <v>138</v>
      </c>
      <c r="J156" s="7" t="s">
        <v>139</v>
      </c>
      <c r="K156" s="7" t="s">
        <v>68</v>
      </c>
      <c r="L156" s="7" t="s">
        <v>69</v>
      </c>
      <c r="M156" s="7" t="s">
        <v>1241</v>
      </c>
      <c r="N156" t="str">
        <f t="shared" si="7"/>
        <v>December</v>
      </c>
      <c r="O156" s="7" t="s">
        <v>1241</v>
      </c>
      <c r="P156" s="7" t="s">
        <v>71</v>
      </c>
      <c r="Q156" s="7" t="s">
        <v>72</v>
      </c>
      <c r="R156" s="7" t="s">
        <v>73</v>
      </c>
      <c r="S156" s="7" t="s">
        <v>1201</v>
      </c>
      <c r="T156" s="7" t="s">
        <v>1200</v>
      </c>
      <c r="U156" s="7" t="s">
        <v>1200</v>
      </c>
      <c r="V156" s="7" t="s">
        <v>75</v>
      </c>
      <c r="W156" s="7" t="s">
        <v>1242</v>
      </c>
      <c r="X156" s="7" t="s">
        <v>75</v>
      </c>
      <c r="Y156" s="7" t="s">
        <v>1242</v>
      </c>
      <c r="Z156" s="7" t="s">
        <v>76</v>
      </c>
      <c r="AA156" s="7" t="s">
        <v>1250</v>
      </c>
      <c r="AB156" s="7" t="s">
        <v>75</v>
      </c>
      <c r="AC156" s="7" t="s">
        <v>75</v>
      </c>
      <c r="AD156" s="7" t="s">
        <v>75</v>
      </c>
      <c r="AE156" s="7" t="s">
        <v>75</v>
      </c>
      <c r="AF156" s="7" t="s">
        <v>75</v>
      </c>
      <c r="AG156" s="7" t="s">
        <v>75</v>
      </c>
      <c r="AH156" s="7" t="s">
        <v>75</v>
      </c>
      <c r="AI156" s="7" t="s">
        <v>75</v>
      </c>
      <c r="AJ156" s="7" t="s">
        <v>75</v>
      </c>
      <c r="AK156" s="7" t="s">
        <v>75</v>
      </c>
      <c r="AL156" s="7" t="s">
        <v>75</v>
      </c>
      <c r="AM156" s="7" t="s">
        <v>75</v>
      </c>
      <c r="AN156" s="7" t="s">
        <v>75</v>
      </c>
      <c r="AO156" s="7" t="s">
        <v>75</v>
      </c>
      <c r="AP156" s="7" t="s">
        <v>75</v>
      </c>
      <c r="AQ156" s="7" t="s">
        <v>75</v>
      </c>
      <c r="AR156" s="7" t="s">
        <v>75</v>
      </c>
      <c r="AS156" s="7" t="s">
        <v>75</v>
      </c>
      <c r="AT156" s="7" t="s">
        <v>75</v>
      </c>
      <c r="AU156" s="7" t="s">
        <v>1251</v>
      </c>
      <c r="AV156" s="7" t="s">
        <v>1252</v>
      </c>
      <c r="AW156" s="7" t="s">
        <v>1250</v>
      </c>
      <c r="AX156" s="7" t="s">
        <v>1244</v>
      </c>
      <c r="AY156" s="7" t="s">
        <v>1245</v>
      </c>
      <c r="AZ156" s="7">
        <v>797109</v>
      </c>
      <c r="BA156" t="s">
        <v>1406</v>
      </c>
      <c r="BB156" s="13" t="str">
        <f t="shared" si="8"/>
        <v xml:space="preserve"> Aizawl</v>
      </c>
      <c r="BC156" s="7" t="s">
        <v>1245</v>
      </c>
      <c r="BD156" s="7" t="s">
        <v>73</v>
      </c>
      <c r="BE156" s="7" t="s">
        <v>81</v>
      </c>
      <c r="BF156" s="7" t="s">
        <v>82</v>
      </c>
      <c r="BG156" s="7" t="s">
        <v>1246</v>
      </c>
      <c r="BH156" s="7" t="s">
        <v>73</v>
      </c>
      <c r="BI156" s="7" t="s">
        <v>73</v>
      </c>
      <c r="BJ156" s="7" t="s">
        <v>73</v>
      </c>
      <c r="BK156" s="7" t="s">
        <v>1247</v>
      </c>
      <c r="BL156" s="7" t="s">
        <v>73</v>
      </c>
      <c r="BM156" s="12">
        <v>71</v>
      </c>
    </row>
    <row r="157" spans="1:65">
      <c r="A157" s="7" t="s">
        <v>60</v>
      </c>
      <c r="B157" s="7" t="s">
        <v>1253</v>
      </c>
      <c r="C157" s="7" t="s">
        <v>1254</v>
      </c>
      <c r="D157" s="7" t="s">
        <v>1153</v>
      </c>
      <c r="E157" s="7" t="s">
        <v>1154</v>
      </c>
      <c r="F157" s="7" t="s">
        <v>1155</v>
      </c>
      <c r="G157" t="str">
        <f t="shared" si="6"/>
        <v>ENERGIZE-YOUR-MIND02</v>
      </c>
      <c r="H157" s="7" t="s">
        <v>66</v>
      </c>
      <c r="I157" s="7" t="s">
        <v>67</v>
      </c>
      <c r="J157" s="7" t="s">
        <v>67</v>
      </c>
      <c r="K157" s="7" t="s">
        <v>140</v>
      </c>
      <c r="L157" s="7" t="s">
        <v>69</v>
      </c>
      <c r="M157" s="7" t="s">
        <v>1255</v>
      </c>
      <c r="N157" t="str">
        <f t="shared" si="7"/>
        <v>December</v>
      </c>
      <c r="O157" s="7" t="s">
        <v>1255</v>
      </c>
      <c r="P157" s="7" t="s">
        <v>71</v>
      </c>
      <c r="Q157" s="7" t="s">
        <v>72</v>
      </c>
      <c r="R157" s="7" t="s">
        <v>73</v>
      </c>
      <c r="S157" s="7" t="s">
        <v>1256</v>
      </c>
      <c r="T157" s="7" t="s">
        <v>1065</v>
      </c>
      <c r="U157" s="7" t="s">
        <v>1065</v>
      </c>
      <c r="V157" s="7" t="s">
        <v>75</v>
      </c>
      <c r="W157" s="7" t="s">
        <v>1257</v>
      </c>
      <c r="X157" s="7" t="s">
        <v>75</v>
      </c>
      <c r="Y157" s="7" t="s">
        <v>1257</v>
      </c>
      <c r="Z157" s="7" t="s">
        <v>76</v>
      </c>
      <c r="AA157" s="7" t="s">
        <v>1257</v>
      </c>
      <c r="AB157" s="7" t="s">
        <v>75</v>
      </c>
      <c r="AC157" s="7" t="s">
        <v>75</v>
      </c>
      <c r="AD157" s="7" t="s">
        <v>75</v>
      </c>
      <c r="AE157" s="7" t="s">
        <v>75</v>
      </c>
      <c r="AF157" s="7" t="s">
        <v>75</v>
      </c>
      <c r="AG157" s="7" t="s">
        <v>75</v>
      </c>
      <c r="AH157" s="7" t="s">
        <v>75</v>
      </c>
      <c r="AI157" s="7" t="s">
        <v>75</v>
      </c>
      <c r="AJ157" s="7" t="s">
        <v>75</v>
      </c>
      <c r="AK157" s="7" t="s">
        <v>75</v>
      </c>
      <c r="AL157" s="7" t="s">
        <v>75</v>
      </c>
      <c r="AM157" s="7" t="s">
        <v>75</v>
      </c>
      <c r="AN157" s="7" t="s">
        <v>75</v>
      </c>
      <c r="AO157" s="7" t="s">
        <v>75</v>
      </c>
      <c r="AP157" s="7" t="s">
        <v>75</v>
      </c>
      <c r="AQ157" s="7" t="s">
        <v>75</v>
      </c>
      <c r="AR157" s="7" t="s">
        <v>75</v>
      </c>
      <c r="AS157" s="7" t="s">
        <v>75</v>
      </c>
      <c r="AT157" s="7" t="s">
        <v>75</v>
      </c>
      <c r="AU157" s="7" t="s">
        <v>1258</v>
      </c>
      <c r="AV157" s="7" t="s">
        <v>1252</v>
      </c>
      <c r="AW157" s="7" t="s">
        <v>1257</v>
      </c>
      <c r="AX157" s="7" t="s">
        <v>1259</v>
      </c>
      <c r="AY157" s="7" t="s">
        <v>147</v>
      </c>
      <c r="AZ157" s="7" t="s">
        <v>1259</v>
      </c>
      <c r="BA157" s="7" t="s">
        <v>1400</v>
      </c>
      <c r="BB157" s="13" t="str">
        <f t="shared" si="8"/>
        <v xml:space="preserve"> Cachar</v>
      </c>
      <c r="BC157" s="7" t="s">
        <v>147</v>
      </c>
      <c r="BD157" s="7" t="s">
        <v>73</v>
      </c>
      <c r="BE157" s="7" t="s">
        <v>81</v>
      </c>
      <c r="BF157" s="7" t="s">
        <v>82</v>
      </c>
      <c r="BG157" s="7" t="s">
        <v>1260</v>
      </c>
      <c r="BH157" s="7" t="s">
        <v>73</v>
      </c>
      <c r="BI157" s="7" t="s">
        <v>73</v>
      </c>
      <c r="BJ157" s="7" t="s">
        <v>73</v>
      </c>
      <c r="BK157" s="7" t="s">
        <v>1261</v>
      </c>
      <c r="BL157" s="7" t="s">
        <v>73</v>
      </c>
      <c r="BM157" s="12">
        <v>87</v>
      </c>
    </row>
    <row r="158" spans="1:65">
      <c r="A158" s="7" t="s">
        <v>60</v>
      </c>
      <c r="B158" s="7" t="s">
        <v>1262</v>
      </c>
      <c r="C158" s="7" t="s">
        <v>1263</v>
      </c>
      <c r="D158" s="7" t="s">
        <v>525</v>
      </c>
      <c r="E158" s="7" t="s">
        <v>526</v>
      </c>
      <c r="F158" s="7" t="s">
        <v>527</v>
      </c>
      <c r="G158" t="str">
        <f t="shared" si="6"/>
        <v>WHO-WILL-CRY01</v>
      </c>
      <c r="H158" s="7" t="s">
        <v>66</v>
      </c>
      <c r="I158" s="7" t="s">
        <v>67</v>
      </c>
      <c r="J158" s="7" t="s">
        <v>67</v>
      </c>
      <c r="K158" s="7" t="s">
        <v>68</v>
      </c>
      <c r="L158" s="7" t="s">
        <v>69</v>
      </c>
      <c r="M158" s="7" t="s">
        <v>1264</v>
      </c>
      <c r="N158" t="str">
        <f t="shared" si="7"/>
        <v>December</v>
      </c>
      <c r="O158" s="7" t="s">
        <v>1264</v>
      </c>
      <c r="P158" s="7" t="s">
        <v>71</v>
      </c>
      <c r="Q158" s="7" t="s">
        <v>72</v>
      </c>
      <c r="R158" s="7" t="s">
        <v>73</v>
      </c>
      <c r="S158" s="7" t="s">
        <v>1265</v>
      </c>
      <c r="T158" s="7" t="s">
        <v>1200</v>
      </c>
      <c r="U158" s="7" t="s">
        <v>1200</v>
      </c>
      <c r="V158" s="7" t="s">
        <v>75</v>
      </c>
      <c r="W158" s="7" t="s">
        <v>282</v>
      </c>
      <c r="X158" s="7" t="s">
        <v>75</v>
      </c>
      <c r="Y158" s="7" t="s">
        <v>282</v>
      </c>
      <c r="Z158" s="7" t="s">
        <v>76</v>
      </c>
      <c r="AA158" s="7" t="s">
        <v>282</v>
      </c>
      <c r="AB158" s="7" t="s">
        <v>75</v>
      </c>
      <c r="AC158" s="7" t="s">
        <v>75</v>
      </c>
      <c r="AD158" s="7" t="s">
        <v>75</v>
      </c>
      <c r="AE158" s="7" t="s">
        <v>75</v>
      </c>
      <c r="AF158" s="7" t="s">
        <v>75</v>
      </c>
      <c r="AG158" s="7" t="s">
        <v>75</v>
      </c>
      <c r="AH158" s="7" t="s">
        <v>75</v>
      </c>
      <c r="AI158" s="7" t="s">
        <v>75</v>
      </c>
      <c r="AJ158" s="7" t="s">
        <v>75</v>
      </c>
      <c r="AK158" s="7" t="s">
        <v>75</v>
      </c>
      <c r="AL158" s="7" t="s">
        <v>75</v>
      </c>
      <c r="AM158" s="7" t="s">
        <v>75</v>
      </c>
      <c r="AN158" s="7" t="s">
        <v>75</v>
      </c>
      <c r="AO158" s="7" t="s">
        <v>75</v>
      </c>
      <c r="AP158" s="7" t="s">
        <v>75</v>
      </c>
      <c r="AQ158" s="7" t="s">
        <v>75</v>
      </c>
      <c r="AR158" s="7" t="s">
        <v>75</v>
      </c>
      <c r="AS158" s="7" t="s">
        <v>75</v>
      </c>
      <c r="AT158" s="7" t="s">
        <v>75</v>
      </c>
      <c r="AU158" s="7" t="s">
        <v>1266</v>
      </c>
      <c r="AV158" s="7" t="s">
        <v>1267</v>
      </c>
      <c r="AW158" s="7" t="s">
        <v>282</v>
      </c>
      <c r="AX158" s="7" t="s">
        <v>1268</v>
      </c>
      <c r="AY158" s="7" t="s">
        <v>325</v>
      </c>
      <c r="AZ158" s="7" t="s">
        <v>1268</v>
      </c>
      <c r="BA158" s="7" t="s">
        <v>1401</v>
      </c>
      <c r="BB158" s="13" t="str">
        <f t="shared" si="8"/>
        <v xml:space="preserve"> Wayanad</v>
      </c>
      <c r="BC158" s="7" t="s">
        <v>325</v>
      </c>
      <c r="BD158" s="7" t="s">
        <v>73</v>
      </c>
      <c r="BE158" s="7" t="s">
        <v>81</v>
      </c>
      <c r="BF158" s="7" t="s">
        <v>82</v>
      </c>
      <c r="BG158" s="7" t="s">
        <v>286</v>
      </c>
      <c r="BH158" s="7" t="s">
        <v>73</v>
      </c>
      <c r="BI158" s="7" t="s">
        <v>73</v>
      </c>
      <c r="BJ158" s="7" t="s">
        <v>73</v>
      </c>
      <c r="BK158" s="7" t="s">
        <v>1269</v>
      </c>
      <c r="BL158" s="7" t="s">
        <v>73</v>
      </c>
      <c r="BM158" s="12">
        <v>82</v>
      </c>
    </row>
    <row r="159" spans="1:65">
      <c r="A159" s="7" t="s">
        <v>60</v>
      </c>
      <c r="B159" s="7" t="s">
        <v>1270</v>
      </c>
      <c r="C159" s="7" t="s">
        <v>1271</v>
      </c>
      <c r="D159" s="7" t="s">
        <v>525</v>
      </c>
      <c r="E159" s="7" t="s">
        <v>526</v>
      </c>
      <c r="F159" s="7" t="s">
        <v>527</v>
      </c>
      <c r="G159" t="str">
        <f t="shared" si="6"/>
        <v>WHO-WILL-CRY01</v>
      </c>
      <c r="H159" s="7" t="s">
        <v>66</v>
      </c>
      <c r="I159" s="7" t="s">
        <v>67</v>
      </c>
      <c r="J159" s="7" t="s">
        <v>67</v>
      </c>
      <c r="K159" s="7" t="s">
        <v>68</v>
      </c>
      <c r="L159" s="7" t="s">
        <v>69</v>
      </c>
      <c r="M159" s="7" t="s">
        <v>1272</v>
      </c>
      <c r="N159" t="str">
        <f t="shared" si="7"/>
        <v>December</v>
      </c>
      <c r="O159" s="7" t="s">
        <v>1272</v>
      </c>
      <c r="P159" s="7" t="s">
        <v>71</v>
      </c>
      <c r="Q159" s="7" t="s">
        <v>72</v>
      </c>
      <c r="R159" s="7" t="s">
        <v>73</v>
      </c>
      <c r="S159" s="7" t="s">
        <v>1199</v>
      </c>
      <c r="T159" s="7" t="s">
        <v>1200</v>
      </c>
      <c r="U159" s="7" t="s">
        <v>1200</v>
      </c>
      <c r="V159" s="7" t="s">
        <v>75</v>
      </c>
      <c r="W159" s="7" t="s">
        <v>1201</v>
      </c>
      <c r="X159" s="7" t="s">
        <v>75</v>
      </c>
      <c r="Y159" s="7" t="s">
        <v>1201</v>
      </c>
      <c r="Z159" s="7" t="s">
        <v>76</v>
      </c>
      <c r="AA159" s="7" t="s">
        <v>1201</v>
      </c>
      <c r="AB159" s="7" t="s">
        <v>75</v>
      </c>
      <c r="AC159" s="7" t="s">
        <v>75</v>
      </c>
      <c r="AD159" s="7" t="s">
        <v>75</v>
      </c>
      <c r="AE159" s="7" t="s">
        <v>75</v>
      </c>
      <c r="AF159" s="7" t="s">
        <v>75</v>
      </c>
      <c r="AG159" s="7" t="s">
        <v>75</v>
      </c>
      <c r="AH159" s="7" t="s">
        <v>75</v>
      </c>
      <c r="AI159" s="7" t="s">
        <v>75</v>
      </c>
      <c r="AJ159" s="7" t="s">
        <v>75</v>
      </c>
      <c r="AK159" s="7" t="s">
        <v>75</v>
      </c>
      <c r="AL159" s="7" t="s">
        <v>75</v>
      </c>
      <c r="AM159" s="7" t="s">
        <v>75</v>
      </c>
      <c r="AN159" s="7" t="s">
        <v>75</v>
      </c>
      <c r="AO159" s="7" t="s">
        <v>75</v>
      </c>
      <c r="AP159" s="7" t="s">
        <v>75</v>
      </c>
      <c r="AQ159" s="7" t="s">
        <v>75</v>
      </c>
      <c r="AR159" s="7" t="s">
        <v>75</v>
      </c>
      <c r="AS159" s="7" t="s">
        <v>75</v>
      </c>
      <c r="AT159" s="7" t="s">
        <v>75</v>
      </c>
      <c r="AU159" s="7" t="s">
        <v>1273</v>
      </c>
      <c r="AV159" s="7" t="s">
        <v>1274</v>
      </c>
      <c r="AW159" s="7" t="s">
        <v>1201</v>
      </c>
      <c r="AX159" s="7" t="s">
        <v>1275</v>
      </c>
      <c r="AY159" s="7" t="s">
        <v>126</v>
      </c>
      <c r="AZ159" s="7" t="s">
        <v>1275</v>
      </c>
      <c r="BA159" s="7" t="s">
        <v>1402</v>
      </c>
      <c r="BB159" s="13" t="str">
        <f t="shared" si="8"/>
        <v xml:space="preserve"> Salem</v>
      </c>
      <c r="BC159" s="7" t="s">
        <v>126</v>
      </c>
      <c r="BD159" s="7" t="s">
        <v>73</v>
      </c>
      <c r="BE159" s="7" t="s">
        <v>81</v>
      </c>
      <c r="BF159" s="7" t="s">
        <v>82</v>
      </c>
      <c r="BG159" s="7" t="s">
        <v>1205</v>
      </c>
      <c r="BH159" s="7" t="s">
        <v>73</v>
      </c>
      <c r="BI159" s="7" t="s">
        <v>73</v>
      </c>
      <c r="BJ159" s="7" t="s">
        <v>73</v>
      </c>
      <c r="BK159" s="7" t="s">
        <v>1276</v>
      </c>
      <c r="BL159" s="7" t="s">
        <v>73</v>
      </c>
      <c r="BM159" s="12">
        <v>89</v>
      </c>
    </row>
    <row r="160" spans="1:65">
      <c r="A160" s="7" t="s">
        <v>60</v>
      </c>
      <c r="B160" s="7" t="s">
        <v>1277</v>
      </c>
      <c r="C160" s="7" t="s">
        <v>1278</v>
      </c>
      <c r="D160" s="7" t="s">
        <v>1153</v>
      </c>
      <c r="E160" s="7" t="s">
        <v>1154</v>
      </c>
      <c r="F160" s="7" t="s">
        <v>1155</v>
      </c>
      <c r="G160" t="str">
        <f t="shared" si="6"/>
        <v>ENERGIZE-YOUR-MIND02</v>
      </c>
      <c r="H160" s="7" t="s">
        <v>66</v>
      </c>
      <c r="I160" s="7" t="s">
        <v>67</v>
      </c>
      <c r="J160" s="7" t="s">
        <v>67</v>
      </c>
      <c r="K160" s="7" t="s">
        <v>140</v>
      </c>
      <c r="L160" s="7" t="s">
        <v>69</v>
      </c>
      <c r="M160" s="7" t="s">
        <v>1279</v>
      </c>
      <c r="N160" t="str">
        <f t="shared" si="7"/>
        <v>December</v>
      </c>
      <c r="O160" s="7" t="s">
        <v>1279</v>
      </c>
      <c r="P160" s="7" t="s">
        <v>71</v>
      </c>
      <c r="Q160" s="7" t="s">
        <v>72</v>
      </c>
      <c r="R160" s="7" t="s">
        <v>73</v>
      </c>
      <c r="S160" s="7" t="s">
        <v>1256</v>
      </c>
      <c r="T160" s="7" t="s">
        <v>1065</v>
      </c>
      <c r="U160" s="7" t="s">
        <v>1065</v>
      </c>
      <c r="V160" s="7" t="s">
        <v>75</v>
      </c>
      <c r="W160" s="7" t="s">
        <v>1257</v>
      </c>
      <c r="X160" s="7" t="s">
        <v>75</v>
      </c>
      <c r="Y160" s="7" t="s">
        <v>1257</v>
      </c>
      <c r="Z160" s="7" t="s">
        <v>76</v>
      </c>
      <c r="AA160" s="7" t="s">
        <v>1257</v>
      </c>
      <c r="AB160" s="7" t="s">
        <v>75</v>
      </c>
      <c r="AC160" s="7" t="s">
        <v>75</v>
      </c>
      <c r="AD160" s="7" t="s">
        <v>75</v>
      </c>
      <c r="AE160" s="7" t="s">
        <v>75</v>
      </c>
      <c r="AF160" s="7" t="s">
        <v>75</v>
      </c>
      <c r="AG160" s="7" t="s">
        <v>75</v>
      </c>
      <c r="AH160" s="7" t="s">
        <v>75</v>
      </c>
      <c r="AI160" s="7" t="s">
        <v>75</v>
      </c>
      <c r="AJ160" s="7" t="s">
        <v>75</v>
      </c>
      <c r="AK160" s="7" t="s">
        <v>75</v>
      </c>
      <c r="AL160" s="7" t="s">
        <v>75</v>
      </c>
      <c r="AM160" s="7" t="s">
        <v>75</v>
      </c>
      <c r="AN160" s="7" t="s">
        <v>75</v>
      </c>
      <c r="AO160" s="7" t="s">
        <v>75</v>
      </c>
      <c r="AP160" s="7" t="s">
        <v>75</v>
      </c>
      <c r="AQ160" s="7" t="s">
        <v>75</v>
      </c>
      <c r="AR160" s="7" t="s">
        <v>75</v>
      </c>
      <c r="AS160" s="7" t="s">
        <v>75</v>
      </c>
      <c r="AT160" s="7" t="s">
        <v>75</v>
      </c>
      <c r="AU160" s="7" t="s">
        <v>1280</v>
      </c>
      <c r="AV160" s="7" t="s">
        <v>1281</v>
      </c>
      <c r="AW160" s="7" t="s">
        <v>1257</v>
      </c>
      <c r="AX160" s="7" t="s">
        <v>1282</v>
      </c>
      <c r="AY160" s="7" t="s">
        <v>224</v>
      </c>
      <c r="AZ160" s="7" t="s">
        <v>1282</v>
      </c>
      <c r="BA160" s="7" t="s">
        <v>1403</v>
      </c>
      <c r="BB160" s="13" t="str">
        <f t="shared" si="8"/>
        <v xml:space="preserve"> Bardhaman</v>
      </c>
      <c r="BC160" s="7" t="s">
        <v>224</v>
      </c>
      <c r="BD160" s="7" t="s">
        <v>73</v>
      </c>
      <c r="BE160" s="7" t="s">
        <v>81</v>
      </c>
      <c r="BF160" s="7" t="s">
        <v>82</v>
      </c>
      <c r="BG160" s="7" t="s">
        <v>1260</v>
      </c>
      <c r="BH160" s="7" t="s">
        <v>73</v>
      </c>
      <c r="BI160" s="7" t="s">
        <v>73</v>
      </c>
      <c r="BJ160" s="7" t="s">
        <v>73</v>
      </c>
      <c r="BK160" s="7" t="s">
        <v>1283</v>
      </c>
      <c r="BL160" s="7" t="s">
        <v>73</v>
      </c>
      <c r="BM160" s="12">
        <v>73</v>
      </c>
    </row>
    <row r="161" spans="1:65">
      <c r="A161" s="7" t="s">
        <v>60</v>
      </c>
      <c r="B161" s="7" t="s">
        <v>1284</v>
      </c>
      <c r="C161" s="7" t="s">
        <v>1285</v>
      </c>
      <c r="D161" s="7" t="s">
        <v>525</v>
      </c>
      <c r="E161" s="7" t="s">
        <v>526</v>
      </c>
      <c r="F161" s="7" t="s">
        <v>527</v>
      </c>
      <c r="G161" t="str">
        <f t="shared" si="6"/>
        <v>WHO-WILL-CRY01</v>
      </c>
      <c r="H161" s="7" t="s">
        <v>66</v>
      </c>
      <c r="I161" s="7" t="s">
        <v>67</v>
      </c>
      <c r="J161" s="7" t="s">
        <v>67</v>
      </c>
      <c r="K161" s="7" t="s">
        <v>140</v>
      </c>
      <c r="L161" s="7" t="s">
        <v>69</v>
      </c>
      <c r="M161" s="7" t="s">
        <v>1286</v>
      </c>
      <c r="N161" t="str">
        <f t="shared" si="7"/>
        <v>December</v>
      </c>
      <c r="O161" s="7" t="s">
        <v>1286</v>
      </c>
      <c r="P161" s="7" t="s">
        <v>71</v>
      </c>
      <c r="Q161" s="7" t="s">
        <v>72</v>
      </c>
      <c r="R161" s="7" t="s">
        <v>73</v>
      </c>
      <c r="S161" s="7" t="s">
        <v>1199</v>
      </c>
      <c r="T161" s="7" t="s">
        <v>1200</v>
      </c>
      <c r="U161" s="7" t="s">
        <v>1200</v>
      </c>
      <c r="V161" s="7" t="s">
        <v>75</v>
      </c>
      <c r="W161" s="7" t="s">
        <v>1201</v>
      </c>
      <c r="X161" s="7" t="s">
        <v>75</v>
      </c>
      <c r="Y161" s="7" t="s">
        <v>1201</v>
      </c>
      <c r="Z161" s="7" t="s">
        <v>76</v>
      </c>
      <c r="AA161" s="7" t="s">
        <v>1201</v>
      </c>
      <c r="AB161" s="7" t="s">
        <v>75</v>
      </c>
      <c r="AC161" s="7" t="s">
        <v>75</v>
      </c>
      <c r="AD161" s="7" t="s">
        <v>75</v>
      </c>
      <c r="AE161" s="7" t="s">
        <v>75</v>
      </c>
      <c r="AF161" s="7" t="s">
        <v>75</v>
      </c>
      <c r="AG161" s="7" t="s">
        <v>75</v>
      </c>
      <c r="AH161" s="7" t="s">
        <v>75</v>
      </c>
      <c r="AI161" s="7" t="s">
        <v>75</v>
      </c>
      <c r="AJ161" s="7" t="s">
        <v>75</v>
      </c>
      <c r="AK161" s="7" t="s">
        <v>75</v>
      </c>
      <c r="AL161" s="7" t="s">
        <v>75</v>
      </c>
      <c r="AM161" s="7" t="s">
        <v>75</v>
      </c>
      <c r="AN161" s="7" t="s">
        <v>75</v>
      </c>
      <c r="AO161" s="7" t="s">
        <v>75</v>
      </c>
      <c r="AP161" s="7" t="s">
        <v>75</v>
      </c>
      <c r="AQ161" s="7" t="s">
        <v>75</v>
      </c>
      <c r="AR161" s="7" t="s">
        <v>75</v>
      </c>
      <c r="AS161" s="7" t="s">
        <v>75</v>
      </c>
      <c r="AT161" s="7" t="s">
        <v>75</v>
      </c>
      <c r="AU161" s="7" t="s">
        <v>1287</v>
      </c>
      <c r="AV161" s="7" t="s">
        <v>1288</v>
      </c>
      <c r="AW161" s="7" t="s">
        <v>1201</v>
      </c>
      <c r="AX161" s="7" t="s">
        <v>1289</v>
      </c>
      <c r="AY161" s="7" t="s">
        <v>80</v>
      </c>
      <c r="AZ161" s="7">
        <v>560058</v>
      </c>
      <c r="BA161" t="s">
        <v>1404</v>
      </c>
      <c r="BB161" s="13" t="str">
        <f t="shared" si="8"/>
        <v xml:space="preserve"> Bengaluru</v>
      </c>
      <c r="BC161" s="7" t="s">
        <v>80</v>
      </c>
      <c r="BD161" s="7" t="s">
        <v>73</v>
      </c>
      <c r="BE161" s="7" t="s">
        <v>81</v>
      </c>
      <c r="BF161" s="7" t="s">
        <v>82</v>
      </c>
      <c r="BG161" s="7" t="s">
        <v>1205</v>
      </c>
      <c r="BH161" s="7" t="s">
        <v>73</v>
      </c>
      <c r="BI161" s="7" t="s">
        <v>73</v>
      </c>
      <c r="BJ161" s="7" t="s">
        <v>73</v>
      </c>
      <c r="BK161" s="7" t="s">
        <v>1290</v>
      </c>
      <c r="BL161" s="7" t="s">
        <v>73</v>
      </c>
      <c r="BM161" s="12">
        <v>80</v>
      </c>
    </row>
    <row r="162" spans="1:65">
      <c r="BM162">
        <v>77</v>
      </c>
    </row>
    <row r="163" spans="1:65">
      <c r="BM163">
        <v>84</v>
      </c>
    </row>
    <row r="164" spans="1:65">
      <c r="BM164">
        <v>86</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DFA355-6AF1-4FCA-B1AE-E6B8AD5C1EE0}">
  <dimension ref="A3:C29"/>
  <sheetViews>
    <sheetView workbookViewId="0">
      <selection activeCell="S16" sqref="S16"/>
    </sheetView>
  </sheetViews>
  <sheetFormatPr defaultRowHeight="14.4"/>
  <cols>
    <col min="1" max="1" width="13.77734375" bestFit="1" customWidth="1"/>
    <col min="2" max="2" width="22.77734375" bestFit="1" customWidth="1"/>
  </cols>
  <sheetData>
    <row r="3" spans="1:3">
      <c r="A3" s="14" t="s">
        <v>1435</v>
      </c>
      <c r="B3" t="s">
        <v>1436</v>
      </c>
    </row>
    <row r="4" spans="1:3">
      <c r="A4" s="15" t="s">
        <v>138</v>
      </c>
      <c r="B4" s="16">
        <v>23</v>
      </c>
    </row>
    <row r="5" spans="1:3">
      <c r="A5" s="17" t="s">
        <v>1439</v>
      </c>
      <c r="B5" s="16">
        <v>9</v>
      </c>
    </row>
    <row r="6" spans="1:3">
      <c r="A6" s="17" t="s">
        <v>1440</v>
      </c>
      <c r="B6" s="16">
        <v>6</v>
      </c>
    </row>
    <row r="7" spans="1:3">
      <c r="A7" s="17" t="s">
        <v>1441</v>
      </c>
      <c r="B7" s="16">
        <v>2</v>
      </c>
    </row>
    <row r="8" spans="1:3">
      <c r="A8" s="17" t="s">
        <v>1442</v>
      </c>
      <c r="B8" s="16">
        <v>4</v>
      </c>
    </row>
    <row r="9" spans="1:3">
      <c r="A9" s="17" t="s">
        <v>1443</v>
      </c>
      <c r="B9" s="16">
        <v>2</v>
      </c>
    </row>
    <row r="10" spans="1:3">
      <c r="A10" s="15" t="s">
        <v>1437</v>
      </c>
      <c r="B10" s="16">
        <v>23</v>
      </c>
    </row>
    <row r="12" spans="1:3" ht="15" thickBot="1"/>
    <row r="13" spans="1:3">
      <c r="A13" s="38" t="s">
        <v>1445</v>
      </c>
      <c r="B13" s="39"/>
      <c r="C13" s="40"/>
    </row>
    <row r="14" spans="1:3">
      <c r="A14" s="41" t="s">
        <v>1446</v>
      </c>
      <c r="B14" s="36"/>
      <c r="C14" s="42"/>
    </row>
    <row r="15" spans="1:3">
      <c r="A15" s="43" t="s">
        <v>1447</v>
      </c>
      <c r="B15" s="37"/>
      <c r="C15" s="44"/>
    </row>
    <row r="16" spans="1:3" ht="15" thickBot="1">
      <c r="A16" s="45" t="s">
        <v>1448</v>
      </c>
      <c r="B16" s="46"/>
      <c r="C16" s="47"/>
    </row>
    <row r="20" spans="1:3">
      <c r="A20" s="14" t="s">
        <v>1435</v>
      </c>
      <c r="B20" t="s">
        <v>1436</v>
      </c>
      <c r="C20" s="14"/>
    </row>
    <row r="21" spans="1:3">
      <c r="A21" s="15" t="s">
        <v>67</v>
      </c>
      <c r="B21" s="16">
        <v>128</v>
      </c>
    </row>
    <row r="22" spans="1:3">
      <c r="A22" s="17" t="s">
        <v>1438</v>
      </c>
      <c r="B22" s="16">
        <v>6</v>
      </c>
    </row>
    <row r="23" spans="1:3">
      <c r="A23" s="17" t="s">
        <v>1439</v>
      </c>
      <c r="B23" s="16">
        <v>53</v>
      </c>
    </row>
    <row r="24" spans="1:3">
      <c r="A24" s="17" t="s">
        <v>1440</v>
      </c>
      <c r="B24" s="16">
        <v>19</v>
      </c>
    </row>
    <row r="25" spans="1:3">
      <c r="A25" s="17" t="s">
        <v>1441</v>
      </c>
      <c r="B25" s="16">
        <v>12</v>
      </c>
    </row>
    <row r="26" spans="1:3">
      <c r="A26" s="17" t="s">
        <v>1442</v>
      </c>
      <c r="B26" s="16">
        <v>18</v>
      </c>
    </row>
    <row r="27" spans="1:3">
      <c r="A27" s="17" t="s">
        <v>1443</v>
      </c>
      <c r="B27" s="16">
        <v>13</v>
      </c>
    </row>
    <row r="28" spans="1:3">
      <c r="A28" s="17" t="s">
        <v>1444</v>
      </c>
      <c r="B28" s="16">
        <v>7</v>
      </c>
    </row>
    <row r="29" spans="1:3">
      <c r="A29" s="15" t="s">
        <v>1437</v>
      </c>
      <c r="B29" s="16">
        <v>128</v>
      </c>
    </row>
  </sheetData>
  <mergeCells count="4">
    <mergeCell ref="A14:C14"/>
    <mergeCell ref="A15:C15"/>
    <mergeCell ref="A16:C16"/>
    <mergeCell ref="A13:C13"/>
  </mergeCells>
  <pageMargins left="0.7" right="0.7" top="0.75" bottom="0.75" header="0.3" footer="0.3"/>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6B38D0-C375-4248-8CCD-4DA1E14A365C}">
  <dimension ref="A1:L56"/>
  <sheetViews>
    <sheetView tabSelected="1" zoomScaleNormal="100" workbookViewId="0">
      <selection activeCell="L21" sqref="L21"/>
    </sheetView>
  </sheetViews>
  <sheetFormatPr defaultRowHeight="14.4"/>
  <cols>
    <col min="1" max="1" width="30.21875" bestFit="1" customWidth="1"/>
    <col min="2" max="2" width="22.77734375" bestFit="1" customWidth="1"/>
    <col min="10" max="10" width="16.88671875" bestFit="1" customWidth="1"/>
    <col min="11" max="11" width="9.44140625" bestFit="1" customWidth="1"/>
  </cols>
  <sheetData>
    <row r="1" spans="1:2">
      <c r="A1" s="14" t="s">
        <v>8</v>
      </c>
      <c r="B1" t="s">
        <v>1502</v>
      </c>
    </row>
    <row r="3" spans="1:2">
      <c r="A3" s="14" t="s">
        <v>1435</v>
      </c>
      <c r="B3" t="s">
        <v>1436</v>
      </c>
    </row>
    <row r="4" spans="1:2">
      <c r="A4" s="15" t="s">
        <v>1449</v>
      </c>
      <c r="B4" s="16">
        <v>4</v>
      </c>
    </row>
    <row r="5" spans="1:2">
      <c r="A5" s="15" t="s">
        <v>1450</v>
      </c>
      <c r="B5" s="16">
        <v>4</v>
      </c>
    </row>
    <row r="6" spans="1:2">
      <c r="A6" s="15" t="s">
        <v>1451</v>
      </c>
      <c r="B6" s="16">
        <v>9</v>
      </c>
    </row>
    <row r="7" spans="1:2">
      <c r="A7" s="15" t="s">
        <v>1452</v>
      </c>
      <c r="B7" s="16">
        <v>1</v>
      </c>
    </row>
    <row r="8" spans="1:2">
      <c r="A8" s="15" t="s">
        <v>1453</v>
      </c>
      <c r="B8" s="16">
        <v>1</v>
      </c>
    </row>
    <row r="9" spans="1:2">
      <c r="A9" s="15" t="s">
        <v>1454</v>
      </c>
      <c r="B9" s="16">
        <v>1</v>
      </c>
    </row>
    <row r="10" spans="1:2">
      <c r="A10" s="15" t="s">
        <v>1455</v>
      </c>
      <c r="B10" s="16">
        <v>5</v>
      </c>
    </row>
    <row r="11" spans="1:2">
      <c r="A11" s="15" t="s">
        <v>1456</v>
      </c>
      <c r="B11" s="16">
        <v>4</v>
      </c>
    </row>
    <row r="12" spans="1:2">
      <c r="A12" s="15" t="s">
        <v>1457</v>
      </c>
      <c r="B12" s="16">
        <v>1</v>
      </c>
    </row>
    <row r="13" spans="1:2">
      <c r="A13" s="15" t="s">
        <v>1458</v>
      </c>
      <c r="B13" s="16">
        <v>1</v>
      </c>
    </row>
    <row r="14" spans="1:2">
      <c r="A14" s="15" t="s">
        <v>1459</v>
      </c>
      <c r="B14" s="16">
        <v>1</v>
      </c>
    </row>
    <row r="15" spans="1:2">
      <c r="A15" s="15" t="s">
        <v>1460</v>
      </c>
      <c r="B15" s="16">
        <v>1</v>
      </c>
    </row>
    <row r="16" spans="1:2">
      <c r="A16" s="15" t="s">
        <v>1461</v>
      </c>
      <c r="B16" s="16">
        <v>7</v>
      </c>
    </row>
    <row r="17" spans="1:11">
      <c r="A17" s="15" t="s">
        <v>1462</v>
      </c>
      <c r="B17" s="16">
        <v>2</v>
      </c>
    </row>
    <row r="18" spans="1:11">
      <c r="A18" s="15" t="s">
        <v>1463</v>
      </c>
      <c r="B18" s="16">
        <v>5</v>
      </c>
    </row>
    <row r="19" spans="1:11">
      <c r="A19" s="15" t="s">
        <v>1464</v>
      </c>
      <c r="B19" s="16">
        <v>4</v>
      </c>
    </row>
    <row r="20" spans="1:11">
      <c r="A20" s="15" t="s">
        <v>1465</v>
      </c>
      <c r="B20" s="16">
        <v>3</v>
      </c>
    </row>
    <row r="21" spans="1:11">
      <c r="A21" s="15" t="s">
        <v>1466</v>
      </c>
      <c r="B21" s="16">
        <v>4</v>
      </c>
    </row>
    <row r="22" spans="1:11">
      <c r="A22" s="15" t="s">
        <v>1467</v>
      </c>
      <c r="B22" s="16">
        <v>3</v>
      </c>
      <c r="J22" s="18" t="s">
        <v>1445</v>
      </c>
      <c r="K22" s="1"/>
    </row>
    <row r="23" spans="1:11" ht="15" thickBot="1">
      <c r="A23" s="15" t="s">
        <v>1468</v>
      </c>
      <c r="B23" s="16">
        <v>1</v>
      </c>
      <c r="J23" s="23"/>
      <c r="K23" s="1"/>
    </row>
    <row r="24" spans="1:11" ht="15" thickBot="1">
      <c r="A24" s="15" t="s">
        <v>1469</v>
      </c>
      <c r="B24" s="16">
        <v>2</v>
      </c>
      <c r="J24" s="32" t="s">
        <v>1501</v>
      </c>
      <c r="K24" s="33"/>
    </row>
    <row r="25" spans="1:11" ht="15" thickBot="1">
      <c r="A25" s="15" t="s">
        <v>1470</v>
      </c>
      <c r="B25" s="16">
        <v>1</v>
      </c>
      <c r="J25" s="24" t="s">
        <v>5</v>
      </c>
      <c r="K25" s="25" t="s">
        <v>1504</v>
      </c>
    </row>
    <row r="26" spans="1:11">
      <c r="A26" s="15" t="s">
        <v>1471</v>
      </c>
      <c r="B26" s="16">
        <v>1</v>
      </c>
      <c r="J26" s="19" t="s">
        <v>1499</v>
      </c>
      <c r="K26" s="20">
        <v>14</v>
      </c>
    </row>
    <row r="27" spans="1:11">
      <c r="A27" s="15" t="s">
        <v>1472</v>
      </c>
      <c r="B27" s="16">
        <v>1</v>
      </c>
      <c r="J27" s="19" t="s">
        <v>1487</v>
      </c>
      <c r="K27" s="20">
        <v>14</v>
      </c>
    </row>
    <row r="28" spans="1:11">
      <c r="A28" s="15" t="s">
        <v>1473</v>
      </c>
      <c r="B28" s="16">
        <v>1</v>
      </c>
      <c r="J28" s="19" t="s">
        <v>1485</v>
      </c>
      <c r="K28" s="20">
        <v>9</v>
      </c>
    </row>
    <row r="29" spans="1:11">
      <c r="A29" s="15" t="s">
        <v>1474</v>
      </c>
      <c r="B29" s="16">
        <v>5</v>
      </c>
      <c r="J29" s="19" t="s">
        <v>1451</v>
      </c>
      <c r="K29" s="20">
        <v>9</v>
      </c>
    </row>
    <row r="30" spans="1:11" ht="15" thickBot="1">
      <c r="A30" s="15" t="s">
        <v>1475</v>
      </c>
      <c r="B30" s="16">
        <v>3</v>
      </c>
      <c r="J30" s="21" t="s">
        <v>1481</v>
      </c>
      <c r="K30" s="22">
        <v>8</v>
      </c>
    </row>
    <row r="31" spans="1:11" ht="15" thickBot="1">
      <c r="A31" s="15" t="s">
        <v>1476</v>
      </c>
      <c r="B31" s="16">
        <v>3</v>
      </c>
    </row>
    <row r="32" spans="1:11" ht="43.8" customHeight="1" thickBot="1">
      <c r="A32" s="15" t="s">
        <v>1477</v>
      </c>
      <c r="B32" s="16">
        <v>2</v>
      </c>
      <c r="J32" s="34" t="s">
        <v>1503</v>
      </c>
      <c r="K32" s="35"/>
    </row>
    <row r="33" spans="1:12" ht="15" thickBot="1">
      <c r="A33" s="15" t="s">
        <v>1478</v>
      </c>
      <c r="B33" s="16">
        <v>1</v>
      </c>
      <c r="J33" s="30" t="s">
        <v>5</v>
      </c>
      <c r="K33" s="31" t="s">
        <v>1504</v>
      </c>
    </row>
    <row r="34" spans="1:12">
      <c r="A34" s="15" t="s">
        <v>1479</v>
      </c>
      <c r="B34" s="16">
        <v>1</v>
      </c>
      <c r="J34" s="28" t="s">
        <v>1461</v>
      </c>
      <c r="K34" s="29">
        <v>7</v>
      </c>
    </row>
    <row r="35" spans="1:12">
      <c r="A35" s="15" t="s">
        <v>1480</v>
      </c>
      <c r="B35" s="16">
        <v>1</v>
      </c>
      <c r="J35" s="19" t="s">
        <v>1455</v>
      </c>
      <c r="K35" s="20">
        <v>4</v>
      </c>
    </row>
    <row r="36" spans="1:12">
      <c r="A36" s="15" t="s">
        <v>1481</v>
      </c>
      <c r="B36" s="16">
        <v>8</v>
      </c>
      <c r="J36" s="19" t="s">
        <v>1464</v>
      </c>
      <c r="K36" s="20">
        <v>3</v>
      </c>
    </row>
    <row r="37" spans="1:12">
      <c r="A37" s="15" t="s">
        <v>1482</v>
      </c>
      <c r="B37" s="16">
        <v>1</v>
      </c>
      <c r="J37" s="19" t="s">
        <v>1476</v>
      </c>
      <c r="K37" s="20">
        <v>3</v>
      </c>
    </row>
    <row r="38" spans="1:12" ht="15" thickBot="1">
      <c r="A38" s="15" t="s">
        <v>1483</v>
      </c>
      <c r="B38" s="16">
        <v>1</v>
      </c>
      <c r="J38" s="21" t="s">
        <v>1485</v>
      </c>
      <c r="K38" s="22">
        <v>2</v>
      </c>
    </row>
    <row r="39" spans="1:12">
      <c r="A39" s="15" t="s">
        <v>1484</v>
      </c>
      <c r="B39" s="16">
        <v>2</v>
      </c>
      <c r="I39" s="10"/>
      <c r="J39" s="26"/>
      <c r="K39" s="27"/>
      <c r="L39" s="10"/>
    </row>
    <row r="40" spans="1:12">
      <c r="A40" s="15" t="s">
        <v>1485</v>
      </c>
      <c r="B40" s="16">
        <v>9</v>
      </c>
      <c r="I40" s="10"/>
      <c r="J40" t="s">
        <v>1506</v>
      </c>
      <c r="K40" s="10"/>
      <c r="L40" s="10"/>
    </row>
    <row r="41" spans="1:12">
      <c r="A41" s="15" t="s">
        <v>1486</v>
      </c>
      <c r="B41" s="16">
        <v>3</v>
      </c>
      <c r="J41" t="s">
        <v>1505</v>
      </c>
    </row>
    <row r="42" spans="1:12">
      <c r="A42" s="15" t="s">
        <v>1487</v>
      </c>
      <c r="B42" s="16">
        <v>14</v>
      </c>
    </row>
    <row r="43" spans="1:12">
      <c r="A43" s="15" t="s">
        <v>1488</v>
      </c>
      <c r="B43" s="16">
        <v>2</v>
      </c>
    </row>
    <row r="44" spans="1:12">
      <c r="A44" s="15" t="s">
        <v>1489</v>
      </c>
      <c r="B44" s="16">
        <v>3</v>
      </c>
    </row>
    <row r="45" spans="1:12">
      <c r="A45" s="15" t="s">
        <v>1490</v>
      </c>
      <c r="B45" s="16">
        <v>1</v>
      </c>
    </row>
    <row r="46" spans="1:12">
      <c r="A46" s="15" t="s">
        <v>1491</v>
      </c>
      <c r="B46" s="16">
        <v>2</v>
      </c>
    </row>
    <row r="47" spans="1:12">
      <c r="A47" s="15" t="s">
        <v>1492</v>
      </c>
      <c r="B47" s="16">
        <v>5</v>
      </c>
    </row>
    <row r="48" spans="1:12">
      <c r="A48" s="15" t="s">
        <v>1493</v>
      </c>
      <c r="B48" s="16">
        <v>2</v>
      </c>
    </row>
    <row r="49" spans="1:2">
      <c r="A49" s="15" t="s">
        <v>1494</v>
      </c>
      <c r="B49" s="16">
        <v>1</v>
      </c>
    </row>
    <row r="50" spans="1:2">
      <c r="A50" s="15" t="s">
        <v>1495</v>
      </c>
      <c r="B50" s="16">
        <v>1</v>
      </c>
    </row>
    <row r="51" spans="1:2">
      <c r="A51" s="15" t="s">
        <v>1496</v>
      </c>
      <c r="B51" s="16">
        <v>2</v>
      </c>
    </row>
    <row r="52" spans="1:2">
      <c r="A52" s="15" t="s">
        <v>1497</v>
      </c>
      <c r="B52" s="16">
        <v>1</v>
      </c>
    </row>
    <row r="53" spans="1:2">
      <c r="A53" s="15" t="s">
        <v>1498</v>
      </c>
      <c r="B53" s="16">
        <v>1</v>
      </c>
    </row>
    <row r="54" spans="1:2">
      <c r="A54" s="15" t="s">
        <v>1499</v>
      </c>
      <c r="B54" s="16">
        <v>14</v>
      </c>
    </row>
    <row r="55" spans="1:2">
      <c r="A55" s="15" t="s">
        <v>1500</v>
      </c>
      <c r="B55" s="16">
        <v>3</v>
      </c>
    </row>
    <row r="56" spans="1:2">
      <c r="A56" s="15" t="s">
        <v>1437</v>
      </c>
      <c r="B56" s="16">
        <v>160</v>
      </c>
    </row>
  </sheetData>
  <mergeCells count="2">
    <mergeCell ref="J24:K24"/>
    <mergeCell ref="J32:K32"/>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74BBA-A6C4-4268-A677-CDD174911D28}">
  <dimension ref="A1:K33"/>
  <sheetViews>
    <sheetView zoomScale="90" zoomScaleNormal="90" workbookViewId="0">
      <selection activeCell="P11" sqref="P11"/>
    </sheetView>
  </sheetViews>
  <sheetFormatPr defaultRowHeight="14.4"/>
  <cols>
    <col min="1" max="1" width="17.21875" bestFit="1" customWidth="1"/>
    <col min="2" max="3" width="23.77734375" bestFit="1" customWidth="1"/>
    <col min="4" max="4" width="20.44140625" customWidth="1"/>
    <col min="5" max="5" width="13.88671875" customWidth="1"/>
    <col min="7" max="7" width="18.33203125" customWidth="1"/>
    <col min="10" max="10" width="13.109375" bestFit="1" customWidth="1"/>
    <col min="11" max="11" width="12" customWidth="1"/>
  </cols>
  <sheetData>
    <row r="1" spans="1:2">
      <c r="A1" s="14" t="s">
        <v>8</v>
      </c>
      <c r="B1" t="s">
        <v>1502</v>
      </c>
    </row>
    <row r="3" spans="1:2">
      <c r="A3" s="14" t="s">
        <v>1435</v>
      </c>
      <c r="B3" t="s">
        <v>1436</v>
      </c>
    </row>
    <row r="4" spans="1:2">
      <c r="A4" s="15" t="s">
        <v>355</v>
      </c>
      <c r="B4" s="16">
        <v>4</v>
      </c>
    </row>
    <row r="5" spans="1:2">
      <c r="A5" s="15" t="s">
        <v>532</v>
      </c>
      <c r="B5" s="16">
        <v>2</v>
      </c>
    </row>
    <row r="6" spans="1:2">
      <c r="A6" s="15" t="s">
        <v>147</v>
      </c>
      <c r="B6" s="16">
        <v>9</v>
      </c>
    </row>
    <row r="7" spans="1:2">
      <c r="A7" s="15" t="s">
        <v>563</v>
      </c>
      <c r="B7" s="16">
        <v>8</v>
      </c>
    </row>
    <row r="8" spans="1:2">
      <c r="A8" s="15" t="s">
        <v>160</v>
      </c>
      <c r="B8" s="16">
        <v>2</v>
      </c>
    </row>
    <row r="9" spans="1:2">
      <c r="A9" s="15" t="s">
        <v>855</v>
      </c>
      <c r="B9" s="16">
        <v>1</v>
      </c>
    </row>
    <row r="10" spans="1:2">
      <c r="A10" s="15" t="s">
        <v>592</v>
      </c>
      <c r="B10" s="16">
        <v>6</v>
      </c>
    </row>
    <row r="11" spans="1:2">
      <c r="A11" s="15" t="s">
        <v>124</v>
      </c>
      <c r="B11" s="16">
        <v>7</v>
      </c>
    </row>
    <row r="12" spans="1:2">
      <c r="A12" s="15" t="s">
        <v>715</v>
      </c>
      <c r="B12" s="16">
        <v>3</v>
      </c>
    </row>
    <row r="13" spans="1:2">
      <c r="A13" s="15" t="s">
        <v>905</v>
      </c>
      <c r="B13" s="16">
        <v>2</v>
      </c>
    </row>
    <row r="14" spans="1:2">
      <c r="A14" s="15" t="s">
        <v>212</v>
      </c>
      <c r="B14" s="16">
        <v>1</v>
      </c>
    </row>
    <row r="15" spans="1:2">
      <c r="A15" s="15" t="s">
        <v>174</v>
      </c>
      <c r="B15" s="16">
        <v>1</v>
      </c>
    </row>
    <row r="16" spans="1:2">
      <c r="A16" s="15" t="s">
        <v>80</v>
      </c>
      <c r="B16" s="16">
        <v>18</v>
      </c>
    </row>
    <row r="17" spans="1:11">
      <c r="A17" s="15" t="s">
        <v>325</v>
      </c>
      <c r="B17" s="16">
        <v>4</v>
      </c>
    </row>
    <row r="18" spans="1:11">
      <c r="A18" s="15" t="s">
        <v>469</v>
      </c>
      <c r="B18" s="16">
        <v>2</v>
      </c>
    </row>
    <row r="19" spans="1:11">
      <c r="A19" s="15" t="s">
        <v>117</v>
      </c>
      <c r="B19" s="16">
        <v>33</v>
      </c>
    </row>
    <row r="20" spans="1:11">
      <c r="A20" s="15" t="s">
        <v>1081</v>
      </c>
      <c r="B20" s="16">
        <v>1</v>
      </c>
    </row>
    <row r="21" spans="1:11">
      <c r="A21" s="15" t="s">
        <v>458</v>
      </c>
      <c r="B21" s="16">
        <v>2</v>
      </c>
    </row>
    <row r="22" spans="1:11">
      <c r="A22" s="15" t="s">
        <v>1245</v>
      </c>
      <c r="B22" s="16">
        <v>2</v>
      </c>
    </row>
    <row r="23" spans="1:11">
      <c r="A23" s="15" t="s">
        <v>94</v>
      </c>
      <c r="B23" s="16">
        <v>3</v>
      </c>
    </row>
    <row r="24" spans="1:11">
      <c r="A24" s="15" t="s">
        <v>502</v>
      </c>
      <c r="B24" s="16">
        <v>4</v>
      </c>
    </row>
    <row r="25" spans="1:11">
      <c r="A25" s="15" t="s">
        <v>539</v>
      </c>
      <c r="B25" s="16">
        <v>3</v>
      </c>
    </row>
    <row r="26" spans="1:11" ht="15" thickBot="1">
      <c r="A26" s="15" t="s">
        <v>126</v>
      </c>
      <c r="B26" s="16">
        <v>14</v>
      </c>
    </row>
    <row r="27" spans="1:11" ht="15" thickBot="1">
      <c r="A27" s="15" t="s">
        <v>395</v>
      </c>
      <c r="B27" s="16">
        <v>6</v>
      </c>
      <c r="D27" s="48" t="s">
        <v>1508</v>
      </c>
      <c r="E27" s="49"/>
      <c r="G27" s="48" t="s">
        <v>1507</v>
      </c>
      <c r="H27" s="49"/>
      <c r="J27" s="48" t="s">
        <v>1509</v>
      </c>
      <c r="K27" s="49"/>
    </row>
    <row r="28" spans="1:11">
      <c r="A28" s="15" t="s">
        <v>261</v>
      </c>
      <c r="B28" s="16">
        <v>10</v>
      </c>
      <c r="D28" s="19" t="s">
        <v>117</v>
      </c>
      <c r="E28" s="20">
        <v>33</v>
      </c>
      <c r="G28" s="19" t="s">
        <v>855</v>
      </c>
      <c r="H28" s="20">
        <v>1</v>
      </c>
      <c r="J28" s="19" t="s">
        <v>117</v>
      </c>
      <c r="K28" s="20">
        <v>7</v>
      </c>
    </row>
    <row r="29" spans="1:11">
      <c r="A29" s="15" t="s">
        <v>107</v>
      </c>
      <c r="B29" s="16">
        <v>3</v>
      </c>
      <c r="D29" s="19" t="s">
        <v>80</v>
      </c>
      <c r="E29" s="20">
        <v>18</v>
      </c>
      <c r="G29" s="19" t="s">
        <v>212</v>
      </c>
      <c r="H29" s="20">
        <v>1</v>
      </c>
      <c r="J29" s="19" t="s">
        <v>80</v>
      </c>
      <c r="K29" s="20">
        <v>4</v>
      </c>
    </row>
    <row r="30" spans="1:11" ht="15" thickBot="1">
      <c r="A30" s="15" t="s">
        <v>224</v>
      </c>
      <c r="B30" s="16">
        <v>9</v>
      </c>
      <c r="D30" s="19" t="s">
        <v>126</v>
      </c>
      <c r="E30" s="20">
        <v>14</v>
      </c>
      <c r="G30" s="19" t="s">
        <v>174</v>
      </c>
      <c r="H30" s="20">
        <v>1</v>
      </c>
      <c r="J30" s="21" t="s">
        <v>261</v>
      </c>
      <c r="K30" s="22">
        <v>2</v>
      </c>
    </row>
    <row r="31" spans="1:11" ht="15" thickBot="1">
      <c r="A31" s="15" t="s">
        <v>1437</v>
      </c>
      <c r="B31" s="16">
        <v>160</v>
      </c>
      <c r="D31" s="19" t="s">
        <v>261</v>
      </c>
      <c r="E31" s="20">
        <v>10</v>
      </c>
      <c r="G31" s="21" t="s">
        <v>1081</v>
      </c>
      <c r="H31" s="22">
        <v>1</v>
      </c>
    </row>
    <row r="32" spans="1:11">
      <c r="D32" s="19" t="s">
        <v>147</v>
      </c>
      <c r="E32" s="20">
        <v>9</v>
      </c>
    </row>
    <row r="33" spans="4:5" ht="15" thickBot="1">
      <c r="D33" s="21" t="s">
        <v>224</v>
      </c>
      <c r="E33" s="22">
        <v>9</v>
      </c>
    </row>
  </sheetData>
  <mergeCells count="3">
    <mergeCell ref="D27:E27"/>
    <mergeCell ref="G27:H27"/>
    <mergeCell ref="J27:K27"/>
  </mergeCell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Sheet5</vt:lpstr>
      <vt:lpstr>Sale_data</vt:lpstr>
      <vt:lpstr>Returns-v-Sales</vt:lpstr>
      <vt:lpstr>Top_Sold_SKUs</vt:lpstr>
      <vt:lpstr>States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2026-02-21T23:57:01Z</dcterms:created>
  <dcterms:modified xsi:type="dcterms:W3CDTF">2026-02-24T03:14:36Z</dcterms:modified>
</cp:coreProperties>
</file>